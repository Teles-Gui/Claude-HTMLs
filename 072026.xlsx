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ea781441e4f247c/Documentos/Finanças/2026/"/>
    </mc:Choice>
  </mc:AlternateContent>
  <xr:revisionPtr revIDLastSave="362" documentId="8_{B7224BD9-7546-4D39-AD24-E9DCD61BD67B}" xr6:coauthVersionLast="47" xr6:coauthVersionMax="47" xr10:uidLastSave="{78543C44-ABD6-4823-8F6D-B177A98B3AB2}"/>
  <bookViews>
    <workbookView xWindow="-120" yWindow="-120" windowWidth="38640" windowHeight="15720" tabRatio="500" activeTab="5" xr2:uid="{00000000-000D-0000-FFFF-FFFF00000000}"/>
  </bookViews>
  <sheets>
    <sheet name="Saldo" sheetId="1" r:id="rId1"/>
    <sheet name="Compensasões e Transferências" sheetId="2" r:id="rId2"/>
    <sheet name="Itaú" sheetId="3" r:id="rId3"/>
    <sheet name="NuBank" sheetId="4" r:id="rId4"/>
    <sheet name="Contas" sheetId="5" r:id="rId5"/>
    <sheet name="NuConta e Poupança" sheetId="6" r:id="rId6"/>
    <sheet name="Checklist de pagamento" sheetId="7" r:id="rId7"/>
  </sheets>
  <definedNames>
    <definedName name="_xlnm._FilterDatabase" localSheetId="2" hidden="1">Itaú!$C$4:$Q$4</definedName>
    <definedName name="_xlnm._FilterDatabase" localSheetId="3" hidden="1">NuBank!$C$5:$Q$150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4" l="1"/>
  <c r="H61" i="4"/>
  <c r="G11" i="6"/>
  <c r="P54" i="4"/>
  <c r="Q5" i="3"/>
  <c r="P5" i="3"/>
  <c r="I11" i="6"/>
  <c r="H11" i="6"/>
  <c r="N3" i="6"/>
  <c r="O10" i="5"/>
  <c r="L10" i="5"/>
  <c r="J10" i="5"/>
  <c r="K10" i="5"/>
  <c r="H10" i="5"/>
  <c r="O9" i="5"/>
  <c r="L9" i="5"/>
  <c r="J9" i="5"/>
  <c r="K9" i="5"/>
  <c r="I9" i="5"/>
  <c r="H9" i="5"/>
  <c r="O8" i="5"/>
  <c r="L8" i="5"/>
  <c r="J8" i="5"/>
  <c r="K8" i="5"/>
  <c r="H8" i="5"/>
  <c r="O7" i="5"/>
  <c r="L7" i="5"/>
  <c r="J7" i="5"/>
  <c r="K7" i="5"/>
  <c r="H7" i="5"/>
  <c r="O6" i="5"/>
  <c r="L6" i="5"/>
  <c r="J6" i="5"/>
  <c r="K6" i="5"/>
  <c r="H6" i="5"/>
  <c r="O5" i="5"/>
  <c r="L5" i="5"/>
  <c r="J5" i="5"/>
  <c r="K5" i="5"/>
  <c r="H5" i="5"/>
  <c r="O4" i="5"/>
  <c r="L4" i="5"/>
  <c r="J4" i="5"/>
  <c r="K4" i="5"/>
  <c r="H4" i="5"/>
  <c r="O3" i="5"/>
  <c r="L3" i="5"/>
  <c r="J3" i="5"/>
  <c r="K3" i="5"/>
  <c r="H3" i="5"/>
  <c r="Q149" i="4"/>
  <c r="P149" i="4"/>
  <c r="L149" i="4"/>
  <c r="H149" i="4"/>
  <c r="Q148" i="4"/>
  <c r="P148" i="4"/>
  <c r="L148" i="4"/>
  <c r="H148" i="4"/>
  <c r="M148" i="4" s="1"/>
  <c r="Q147" i="4"/>
  <c r="P147" i="4"/>
  <c r="L147" i="4"/>
  <c r="H147" i="4"/>
  <c r="Q146" i="4"/>
  <c r="P146" i="4"/>
  <c r="L146" i="4"/>
  <c r="H146" i="4"/>
  <c r="Q145" i="4"/>
  <c r="P145" i="4"/>
  <c r="L145" i="4"/>
  <c r="H145" i="4"/>
  <c r="Q144" i="4"/>
  <c r="P144" i="4"/>
  <c r="L144" i="4"/>
  <c r="H144" i="4"/>
  <c r="M144" i="4" s="1"/>
  <c r="Q143" i="4"/>
  <c r="P143" i="4"/>
  <c r="L143" i="4"/>
  <c r="H143" i="4"/>
  <c r="Q142" i="4"/>
  <c r="P142" i="4"/>
  <c r="L142" i="4"/>
  <c r="H142" i="4"/>
  <c r="M142" i="4" s="1"/>
  <c r="Q141" i="4"/>
  <c r="P141" i="4"/>
  <c r="L141" i="4"/>
  <c r="H141" i="4"/>
  <c r="Q140" i="4"/>
  <c r="P140" i="4"/>
  <c r="L140" i="4"/>
  <c r="H140" i="4"/>
  <c r="M140" i="4" s="1"/>
  <c r="Q139" i="4"/>
  <c r="P139" i="4"/>
  <c r="L139" i="4"/>
  <c r="H139" i="4"/>
  <c r="Q138" i="4"/>
  <c r="P138" i="4"/>
  <c r="L138" i="4"/>
  <c r="H138" i="4"/>
  <c r="M138" i="4" s="1"/>
  <c r="Q137" i="4"/>
  <c r="P137" i="4"/>
  <c r="L137" i="4"/>
  <c r="H137" i="4"/>
  <c r="Q136" i="4"/>
  <c r="P136" i="4"/>
  <c r="L136" i="4"/>
  <c r="H136" i="4"/>
  <c r="Q135" i="4"/>
  <c r="P135" i="4"/>
  <c r="L135" i="4"/>
  <c r="H135" i="4"/>
  <c r="Q134" i="4"/>
  <c r="P134" i="4"/>
  <c r="L134" i="4"/>
  <c r="H134" i="4"/>
  <c r="M134" i="4" s="1"/>
  <c r="Q133" i="4"/>
  <c r="P133" i="4"/>
  <c r="L133" i="4"/>
  <c r="H133" i="4"/>
  <c r="Q132" i="4"/>
  <c r="P132" i="4"/>
  <c r="L132" i="4"/>
  <c r="H132" i="4"/>
  <c r="M132" i="4" s="1"/>
  <c r="Q131" i="4"/>
  <c r="P131" i="4"/>
  <c r="L131" i="4"/>
  <c r="H131" i="4"/>
  <c r="Q130" i="4"/>
  <c r="P130" i="4"/>
  <c r="L130" i="4"/>
  <c r="H130" i="4"/>
  <c r="Q129" i="4"/>
  <c r="P129" i="4"/>
  <c r="L129" i="4"/>
  <c r="H129" i="4"/>
  <c r="Q128" i="4"/>
  <c r="P128" i="4"/>
  <c r="L128" i="4"/>
  <c r="H128" i="4"/>
  <c r="M128" i="4" s="1"/>
  <c r="Q127" i="4"/>
  <c r="P127" i="4"/>
  <c r="L127" i="4"/>
  <c r="H127" i="4"/>
  <c r="Q126" i="4"/>
  <c r="P126" i="4"/>
  <c r="L126" i="4"/>
  <c r="H126" i="4"/>
  <c r="M126" i="4" s="1"/>
  <c r="Q125" i="4"/>
  <c r="P125" i="4"/>
  <c r="L125" i="4"/>
  <c r="H125" i="4"/>
  <c r="Q124" i="4"/>
  <c r="P124" i="4"/>
  <c r="L124" i="4"/>
  <c r="H124" i="4"/>
  <c r="M124" i="4" s="1"/>
  <c r="Q123" i="4"/>
  <c r="P123" i="4"/>
  <c r="L123" i="4"/>
  <c r="H123" i="4"/>
  <c r="Q122" i="4"/>
  <c r="P122" i="4"/>
  <c r="L122" i="4"/>
  <c r="H122" i="4"/>
  <c r="M122" i="4" s="1"/>
  <c r="Q121" i="4"/>
  <c r="P121" i="4"/>
  <c r="L121" i="4"/>
  <c r="H121" i="4"/>
  <c r="Q120" i="4"/>
  <c r="P120" i="4"/>
  <c r="L120" i="4"/>
  <c r="H120" i="4"/>
  <c r="Q119" i="4"/>
  <c r="P119" i="4"/>
  <c r="L119" i="4"/>
  <c r="H119" i="4"/>
  <c r="Q118" i="4"/>
  <c r="P118" i="4"/>
  <c r="L118" i="4"/>
  <c r="H118" i="4"/>
  <c r="M118" i="4" s="1"/>
  <c r="Q117" i="4"/>
  <c r="P117" i="4"/>
  <c r="L117" i="4"/>
  <c r="H117" i="4"/>
  <c r="Q116" i="4"/>
  <c r="P116" i="4"/>
  <c r="L116" i="4"/>
  <c r="H116" i="4"/>
  <c r="Q115" i="4"/>
  <c r="P115" i="4"/>
  <c r="L115" i="4"/>
  <c r="H115" i="4"/>
  <c r="Q114" i="4"/>
  <c r="P114" i="4"/>
  <c r="L114" i="4"/>
  <c r="H114" i="4"/>
  <c r="M114" i="4" s="1"/>
  <c r="Q113" i="4"/>
  <c r="P113" i="4"/>
  <c r="L113" i="4"/>
  <c r="H113" i="4"/>
  <c r="Q112" i="4"/>
  <c r="P112" i="4"/>
  <c r="L112" i="4"/>
  <c r="H112" i="4"/>
  <c r="M112" i="4" s="1"/>
  <c r="Q111" i="4"/>
  <c r="P111" i="4"/>
  <c r="L111" i="4"/>
  <c r="H111" i="4"/>
  <c r="Q110" i="4"/>
  <c r="P110" i="4"/>
  <c r="L110" i="4"/>
  <c r="H110" i="4"/>
  <c r="M110" i="4" s="1"/>
  <c r="Q109" i="4"/>
  <c r="P109" i="4"/>
  <c r="L109" i="4"/>
  <c r="H109" i="4"/>
  <c r="Q108" i="4"/>
  <c r="P108" i="4"/>
  <c r="L108" i="4"/>
  <c r="H108" i="4"/>
  <c r="Q107" i="4"/>
  <c r="P107" i="4"/>
  <c r="L107" i="4"/>
  <c r="H107" i="4"/>
  <c r="Q106" i="4"/>
  <c r="P106" i="4"/>
  <c r="L106" i="4"/>
  <c r="H106" i="4"/>
  <c r="M106" i="4" s="1"/>
  <c r="Q105" i="4"/>
  <c r="P105" i="4"/>
  <c r="L105" i="4"/>
  <c r="H105" i="4"/>
  <c r="Q104" i="4"/>
  <c r="P104" i="4"/>
  <c r="L104" i="4"/>
  <c r="H104" i="4"/>
  <c r="M104" i="4" s="1"/>
  <c r="Q103" i="4"/>
  <c r="P103" i="4"/>
  <c r="L103" i="4"/>
  <c r="M103" i="4" s="1"/>
  <c r="H103" i="4"/>
  <c r="Q102" i="4"/>
  <c r="P102" i="4"/>
  <c r="L102" i="4"/>
  <c r="H102" i="4"/>
  <c r="Q101" i="4"/>
  <c r="P101" i="4"/>
  <c r="L101" i="4"/>
  <c r="M101" i="4" s="1"/>
  <c r="H101" i="4"/>
  <c r="Q100" i="4"/>
  <c r="P100" i="4"/>
  <c r="L100" i="4"/>
  <c r="H100" i="4"/>
  <c r="M100" i="4" s="1"/>
  <c r="Q99" i="4"/>
  <c r="P99" i="4"/>
  <c r="L99" i="4"/>
  <c r="M99" i="4" s="1"/>
  <c r="H99" i="4"/>
  <c r="Q98" i="4"/>
  <c r="P98" i="4"/>
  <c r="L98" i="4"/>
  <c r="H98" i="4"/>
  <c r="Q97" i="4"/>
  <c r="P97" i="4"/>
  <c r="L97" i="4"/>
  <c r="M97" i="4" s="1"/>
  <c r="H97" i="4"/>
  <c r="Q96" i="4"/>
  <c r="P96" i="4"/>
  <c r="L96" i="4"/>
  <c r="H96" i="4"/>
  <c r="M96" i="4" s="1"/>
  <c r="Q95" i="4"/>
  <c r="P95" i="4"/>
  <c r="L95" i="4"/>
  <c r="M95" i="4" s="1"/>
  <c r="H95" i="4"/>
  <c r="Q94" i="4"/>
  <c r="P94" i="4"/>
  <c r="L94" i="4"/>
  <c r="H94" i="4"/>
  <c r="M94" i="4" s="1"/>
  <c r="Q93" i="4"/>
  <c r="P93" i="4"/>
  <c r="L93" i="4"/>
  <c r="M93" i="4" s="1"/>
  <c r="H93" i="4"/>
  <c r="Q92" i="4"/>
  <c r="P92" i="4"/>
  <c r="L92" i="4"/>
  <c r="H92" i="4"/>
  <c r="M92" i="4" s="1"/>
  <c r="Q91" i="4"/>
  <c r="P91" i="4"/>
  <c r="L91" i="4"/>
  <c r="M91" i="4" s="1"/>
  <c r="H91" i="4"/>
  <c r="Q90" i="4"/>
  <c r="P90" i="4"/>
  <c r="L90" i="4"/>
  <c r="H90" i="4"/>
  <c r="M90" i="4" s="1"/>
  <c r="Q89" i="4"/>
  <c r="P89" i="4"/>
  <c r="L89" i="4"/>
  <c r="H89" i="4"/>
  <c r="Q88" i="4"/>
  <c r="P88" i="4"/>
  <c r="L88" i="4"/>
  <c r="H88" i="4"/>
  <c r="M88" i="4" s="1"/>
  <c r="Q87" i="4"/>
  <c r="P87" i="4"/>
  <c r="L87" i="4"/>
  <c r="M87" i="4" s="1"/>
  <c r="H87" i="4"/>
  <c r="Q86" i="4"/>
  <c r="P86" i="4"/>
  <c r="L86" i="4"/>
  <c r="H86" i="4"/>
  <c r="Q85" i="4"/>
  <c r="P85" i="4"/>
  <c r="L85" i="4"/>
  <c r="M85" i="4" s="1"/>
  <c r="H85" i="4"/>
  <c r="Q84" i="4"/>
  <c r="P84" i="4"/>
  <c r="L84" i="4"/>
  <c r="H84" i="4"/>
  <c r="Q83" i="4"/>
  <c r="P83" i="4"/>
  <c r="L83" i="4"/>
  <c r="M83" i="4" s="1"/>
  <c r="H83" i="4"/>
  <c r="Q82" i="4"/>
  <c r="P82" i="4"/>
  <c r="L82" i="4"/>
  <c r="H82" i="4"/>
  <c r="M82" i="4" s="1"/>
  <c r="Q81" i="4"/>
  <c r="P81" i="4"/>
  <c r="L81" i="4"/>
  <c r="M81" i="4" s="1"/>
  <c r="H81" i="4"/>
  <c r="Q80" i="4"/>
  <c r="P80" i="4"/>
  <c r="L80" i="4"/>
  <c r="H80" i="4"/>
  <c r="Q79" i="4"/>
  <c r="P79" i="4"/>
  <c r="L79" i="4"/>
  <c r="M79" i="4" s="1"/>
  <c r="H79" i="4"/>
  <c r="Q78" i="4"/>
  <c r="P78" i="4"/>
  <c r="L78" i="4"/>
  <c r="H78" i="4"/>
  <c r="M78" i="4" s="1"/>
  <c r="Q77" i="4"/>
  <c r="P77" i="4"/>
  <c r="L77" i="4"/>
  <c r="H77" i="4"/>
  <c r="Q76" i="4"/>
  <c r="P76" i="4"/>
  <c r="L76" i="4"/>
  <c r="H76" i="4"/>
  <c r="Q75" i="4"/>
  <c r="P75" i="4"/>
  <c r="L75" i="4"/>
  <c r="H75" i="4"/>
  <c r="Q74" i="4"/>
  <c r="P74" i="4"/>
  <c r="L74" i="4"/>
  <c r="H74" i="4"/>
  <c r="M74" i="4" s="1"/>
  <c r="Q73" i="4"/>
  <c r="P73" i="4"/>
  <c r="L73" i="4"/>
  <c r="H73" i="4"/>
  <c r="Q72" i="4"/>
  <c r="P72" i="4"/>
  <c r="L72" i="4"/>
  <c r="H72" i="4"/>
  <c r="Q71" i="4"/>
  <c r="P71" i="4"/>
  <c r="L71" i="4"/>
  <c r="H71" i="4"/>
  <c r="Q70" i="4"/>
  <c r="P70" i="4"/>
  <c r="L70" i="4"/>
  <c r="H70" i="4"/>
  <c r="M70" i="4" s="1"/>
  <c r="Q69" i="4"/>
  <c r="P69" i="4"/>
  <c r="L69" i="4"/>
  <c r="M69" i="4" s="1"/>
  <c r="H69" i="4"/>
  <c r="Q68" i="4"/>
  <c r="P68" i="4"/>
  <c r="L68" i="4"/>
  <c r="H68" i="4"/>
  <c r="M68" i="4" s="1"/>
  <c r="Q67" i="4"/>
  <c r="P67" i="4"/>
  <c r="L67" i="4"/>
  <c r="M67" i="4" s="1"/>
  <c r="H67" i="4"/>
  <c r="Q66" i="4"/>
  <c r="P66" i="4"/>
  <c r="L66" i="4"/>
  <c r="H66" i="4"/>
  <c r="Q65" i="4"/>
  <c r="P65" i="4"/>
  <c r="L65" i="4"/>
  <c r="H65" i="4"/>
  <c r="Q64" i="4"/>
  <c r="P64" i="4"/>
  <c r="L64" i="4"/>
  <c r="Q63" i="4"/>
  <c r="P63" i="4"/>
  <c r="L63" i="4"/>
  <c r="H63" i="4"/>
  <c r="Q62" i="4"/>
  <c r="P62" i="4"/>
  <c r="L62" i="4"/>
  <c r="H62" i="4"/>
  <c r="Q61" i="4"/>
  <c r="P61" i="4"/>
  <c r="L61" i="4"/>
  <c r="M61" i="4" s="1"/>
  <c r="Q60" i="4"/>
  <c r="P60" i="4"/>
  <c r="L60" i="4"/>
  <c r="H60" i="4"/>
  <c r="Q59" i="4"/>
  <c r="P59" i="4"/>
  <c r="L59" i="4"/>
  <c r="H59" i="4"/>
  <c r="Q58" i="4"/>
  <c r="P58" i="4"/>
  <c r="L58" i="4"/>
  <c r="H58" i="4"/>
  <c r="Q57" i="4"/>
  <c r="P57" i="4"/>
  <c r="L57" i="4"/>
  <c r="H57" i="4"/>
  <c r="Q56" i="4"/>
  <c r="P56" i="4"/>
  <c r="L56" i="4"/>
  <c r="H56" i="4"/>
  <c r="Q55" i="4"/>
  <c r="P55" i="4"/>
  <c r="L55" i="4"/>
  <c r="H55" i="4"/>
  <c r="Q54" i="4"/>
  <c r="L54" i="4"/>
  <c r="H54" i="4"/>
  <c r="Q53" i="4"/>
  <c r="P53" i="4"/>
  <c r="L53" i="4"/>
  <c r="H53" i="4"/>
  <c r="Q52" i="4"/>
  <c r="P52" i="4"/>
  <c r="L52" i="4"/>
  <c r="H52" i="4"/>
  <c r="Q51" i="4"/>
  <c r="P51" i="4"/>
  <c r="L51" i="4"/>
  <c r="H51" i="4"/>
  <c r="M51" i="4" s="1"/>
  <c r="Q23" i="4"/>
  <c r="P23" i="4"/>
  <c r="L23" i="4"/>
  <c r="H23" i="4"/>
  <c r="Q50" i="4"/>
  <c r="P50" i="4"/>
  <c r="L50" i="4"/>
  <c r="H50" i="4"/>
  <c r="M50" i="4" s="1"/>
  <c r="Q49" i="4"/>
  <c r="P49" i="4"/>
  <c r="L49" i="4"/>
  <c r="H49" i="4"/>
  <c r="Q48" i="4"/>
  <c r="P48" i="4"/>
  <c r="L48" i="4"/>
  <c r="H48" i="4"/>
  <c r="M48" i="4" s="1"/>
  <c r="Q47" i="4"/>
  <c r="P47" i="4"/>
  <c r="L47" i="4"/>
  <c r="H47" i="4"/>
  <c r="Q22" i="4"/>
  <c r="P22" i="4"/>
  <c r="L22" i="4"/>
  <c r="H22" i="4"/>
  <c r="M22" i="4" s="1"/>
  <c r="Q46" i="4"/>
  <c r="P46" i="4"/>
  <c r="L46" i="4"/>
  <c r="H46" i="4"/>
  <c r="Q45" i="4"/>
  <c r="P45" i="4"/>
  <c r="L45" i="4"/>
  <c r="H45" i="4"/>
  <c r="M45" i="4" s="1"/>
  <c r="P21" i="4"/>
  <c r="L21" i="4"/>
  <c r="H21" i="4"/>
  <c r="Q20" i="4"/>
  <c r="P20" i="4"/>
  <c r="L20" i="4"/>
  <c r="M20" i="4" s="1"/>
  <c r="H20" i="4"/>
  <c r="Q19" i="4"/>
  <c r="P19" i="4"/>
  <c r="L19" i="4"/>
  <c r="H19" i="4"/>
  <c r="P18" i="4"/>
  <c r="L18" i="4"/>
  <c r="H18" i="4"/>
  <c r="Q17" i="4"/>
  <c r="P17" i="4"/>
  <c r="L17" i="4"/>
  <c r="H17" i="4"/>
  <c r="Q16" i="4"/>
  <c r="P16" i="4"/>
  <c r="L16" i="4"/>
  <c r="H16" i="4"/>
  <c r="Q15" i="4"/>
  <c r="P15" i="4"/>
  <c r="L15" i="4"/>
  <c r="H15" i="4"/>
  <c r="M15" i="4" s="1"/>
  <c r="Q14" i="4"/>
  <c r="P14" i="4"/>
  <c r="L14" i="4"/>
  <c r="H14" i="4"/>
  <c r="Q13" i="4"/>
  <c r="P13" i="4"/>
  <c r="L13" i="4"/>
  <c r="H13" i="4"/>
  <c r="Q12" i="4"/>
  <c r="P12" i="4"/>
  <c r="L12" i="4"/>
  <c r="H12" i="4"/>
  <c r="Q11" i="4"/>
  <c r="P11" i="4"/>
  <c r="L11" i="4"/>
  <c r="H11" i="4"/>
  <c r="M11" i="4" s="1"/>
  <c r="Q10" i="4"/>
  <c r="P10" i="4"/>
  <c r="L10" i="4"/>
  <c r="H10" i="4"/>
  <c r="Q9" i="4"/>
  <c r="P9" i="4"/>
  <c r="L9" i="4"/>
  <c r="H9" i="4"/>
  <c r="M9" i="4" s="1"/>
  <c r="Q44" i="4"/>
  <c r="P44" i="4"/>
  <c r="L44" i="4"/>
  <c r="H44" i="4"/>
  <c r="Q43" i="4"/>
  <c r="P43" i="4"/>
  <c r="L43" i="4"/>
  <c r="H43" i="4"/>
  <c r="M43" i="4" s="1"/>
  <c r="Q8" i="4"/>
  <c r="P8" i="4"/>
  <c r="L8" i="4"/>
  <c r="H8" i="4"/>
  <c r="M8" i="4" s="1"/>
  <c r="P42" i="4"/>
  <c r="L42" i="4"/>
  <c r="H42" i="4"/>
  <c r="Q41" i="4"/>
  <c r="P41" i="4"/>
  <c r="L41" i="4"/>
  <c r="H41" i="4"/>
  <c r="Q40" i="4"/>
  <c r="P40" i="4"/>
  <c r="L40" i="4"/>
  <c r="H40" i="4"/>
  <c r="Q39" i="4"/>
  <c r="P39" i="4"/>
  <c r="L39" i="4"/>
  <c r="H39" i="4"/>
  <c r="Q38" i="4"/>
  <c r="P38" i="4"/>
  <c r="L38" i="4"/>
  <c r="M38" i="4" s="1"/>
  <c r="H38" i="4"/>
  <c r="Q37" i="4"/>
  <c r="P37" i="4"/>
  <c r="L37" i="4"/>
  <c r="H37" i="4"/>
  <c r="Q36" i="4"/>
  <c r="P36" i="4"/>
  <c r="L36" i="4"/>
  <c r="H36" i="4"/>
  <c r="Q35" i="4"/>
  <c r="P35" i="4"/>
  <c r="L35" i="4"/>
  <c r="H35" i="4"/>
  <c r="Q7" i="4"/>
  <c r="P7" i="4"/>
  <c r="L7" i="4"/>
  <c r="H7" i="4"/>
  <c r="Q34" i="4"/>
  <c r="P34" i="4"/>
  <c r="L34" i="4"/>
  <c r="M34" i="4" s="1"/>
  <c r="H34" i="4"/>
  <c r="Q33" i="4"/>
  <c r="P33" i="4"/>
  <c r="L33" i="4"/>
  <c r="M33" i="4" s="1"/>
  <c r="H33" i="4"/>
  <c r="Q32" i="4"/>
  <c r="P32" i="4"/>
  <c r="L32" i="4"/>
  <c r="M32" i="4" s="1"/>
  <c r="H32" i="4"/>
  <c r="P31" i="4"/>
  <c r="L31" i="4"/>
  <c r="M31" i="4" s="1"/>
  <c r="H31" i="4"/>
  <c r="Q30" i="4"/>
  <c r="P30" i="4"/>
  <c r="L30" i="4"/>
  <c r="M30" i="4" s="1"/>
  <c r="H30" i="4"/>
  <c r="Q29" i="4"/>
  <c r="P29" i="4"/>
  <c r="L29" i="4"/>
  <c r="M29" i="4" s="1"/>
  <c r="H29" i="4"/>
  <c r="Q28" i="4"/>
  <c r="P28" i="4"/>
  <c r="L28" i="4"/>
  <c r="M28" i="4" s="1"/>
  <c r="H28" i="4"/>
  <c r="P27" i="4"/>
  <c r="L27" i="4"/>
  <c r="M27" i="4" s="1"/>
  <c r="H27" i="4"/>
  <c r="Q26" i="4"/>
  <c r="P26" i="4"/>
  <c r="L26" i="4"/>
  <c r="M26" i="4" s="1"/>
  <c r="H26" i="4"/>
  <c r="Q25" i="4"/>
  <c r="P25" i="4"/>
  <c r="L25" i="4"/>
  <c r="M25" i="4" s="1"/>
  <c r="H25" i="4"/>
  <c r="Q6" i="4"/>
  <c r="P6" i="4"/>
  <c r="L6" i="4"/>
  <c r="H6" i="4"/>
  <c r="Q24" i="4"/>
  <c r="P24" i="4"/>
  <c r="L24" i="4"/>
  <c r="H24" i="4"/>
  <c r="N15" i="3"/>
  <c r="L15" i="3"/>
  <c r="M15" i="3"/>
  <c r="H15" i="3"/>
  <c r="N14" i="3"/>
  <c r="L14" i="3"/>
  <c r="M14" i="3"/>
  <c r="H14" i="3"/>
  <c r="N13" i="3"/>
  <c r="L13" i="3"/>
  <c r="M13" i="3"/>
  <c r="H13" i="3"/>
  <c r="N12" i="3"/>
  <c r="L12" i="3"/>
  <c r="M12" i="3"/>
  <c r="H12" i="3"/>
  <c r="N11" i="3"/>
  <c r="L11" i="3"/>
  <c r="M11" i="3"/>
  <c r="H11" i="3"/>
  <c r="Q10" i="3"/>
  <c r="N10" i="3"/>
  <c r="L10" i="3"/>
  <c r="H10" i="3"/>
  <c r="M10" i="3" s="1"/>
  <c r="N9" i="3"/>
  <c r="L9" i="3"/>
  <c r="M9" i="3"/>
  <c r="H9" i="3"/>
  <c r="N8" i="3"/>
  <c r="L8" i="3"/>
  <c r="M8" i="3"/>
  <c r="H8" i="3"/>
  <c r="N7" i="3"/>
  <c r="L7" i="3"/>
  <c r="M7" i="3"/>
  <c r="H7" i="3"/>
  <c r="Q6" i="3"/>
  <c r="N6" i="3"/>
  <c r="L6" i="3"/>
  <c r="M6" i="3"/>
  <c r="H6" i="3"/>
  <c r="L5" i="3"/>
  <c r="H5" i="3"/>
  <c r="G2" i="3"/>
  <c r="F2" i="3"/>
  <c r="E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4" i="1"/>
  <c r="E23" i="1"/>
  <c r="M102" i="4"/>
  <c r="M80" i="4"/>
  <c r="M12" i="4"/>
  <c r="M108" i="4"/>
  <c r="M77" i="4"/>
  <c r="M120" i="4"/>
  <c r="M130" i="4"/>
  <c r="M136" i="4"/>
  <c r="M86" i="4"/>
  <c r="M14" i="4"/>
  <c r="M89" i="4"/>
  <c r="M72" i="4"/>
  <c r="G2" i="4"/>
  <c r="M84" i="4"/>
  <c r="M116" i="4"/>
  <c r="M41" i="4"/>
  <c r="M105" i="4"/>
  <c r="M98" i="4"/>
  <c r="M146" i="4"/>
  <c r="E14" i="1"/>
  <c r="C13" i="2"/>
  <c r="C14" i="1"/>
  <c r="B9" i="5"/>
  <c r="E11" i="1"/>
  <c r="B6" i="5"/>
  <c r="C11" i="1"/>
  <c r="E12" i="1"/>
  <c r="C11" i="2"/>
  <c r="C12" i="1"/>
  <c r="C15" i="1"/>
  <c r="C14" i="2"/>
  <c r="E15" i="1"/>
  <c r="C13" i="1"/>
  <c r="C12" i="2"/>
  <c r="E13" i="1"/>
  <c r="D2" i="3"/>
  <c r="M5" i="3"/>
  <c r="E2" i="3" s="1"/>
  <c r="C8" i="1" s="1"/>
  <c r="C3" i="2"/>
  <c r="D3" i="2"/>
  <c r="C15" i="2"/>
  <c r="C16" i="1"/>
  <c r="E16" i="1"/>
  <c r="C17" i="1"/>
  <c r="E17" i="1"/>
  <c r="C16" i="2"/>
  <c r="C10" i="2"/>
  <c r="M76" i="4" l="1"/>
  <c r="M75" i="4"/>
  <c r="M73" i="4"/>
  <c r="M71" i="4"/>
  <c r="M46" i="4"/>
  <c r="M47" i="4"/>
  <c r="M49" i="4"/>
  <c r="M23" i="4"/>
  <c r="M52" i="4"/>
  <c r="M107" i="4"/>
  <c r="M109" i="4"/>
  <c r="M111" i="4"/>
  <c r="M113" i="4"/>
  <c r="M115" i="4"/>
  <c r="M117" i="4"/>
  <c r="M119" i="4"/>
  <c r="M121" i="4"/>
  <c r="M123" i="4"/>
  <c r="M125" i="4"/>
  <c r="M127" i="4"/>
  <c r="M129" i="4"/>
  <c r="M131" i="4"/>
  <c r="M133" i="4"/>
  <c r="M135" i="4"/>
  <c r="M137" i="4"/>
  <c r="M139" i="4"/>
  <c r="M141" i="4"/>
  <c r="M143" i="4"/>
  <c r="M145" i="4"/>
  <c r="M147" i="4"/>
  <c r="M149" i="4"/>
  <c r="M55" i="4"/>
  <c r="M35" i="4"/>
  <c r="M37" i="4"/>
  <c r="M66" i="4"/>
  <c r="M65" i="4"/>
  <c r="M64" i="4"/>
  <c r="M63" i="4"/>
  <c r="M62" i="4"/>
  <c r="M60" i="4"/>
  <c r="M59" i="4"/>
  <c r="M58" i="4"/>
  <c r="M57" i="4"/>
  <c r="M56" i="4"/>
  <c r="M54" i="4"/>
  <c r="F11" i="6"/>
  <c r="M53" i="4"/>
  <c r="C23" i="1"/>
  <c r="F10" i="6"/>
  <c r="D2" i="4"/>
  <c r="M19" i="4"/>
  <c r="M21" i="4"/>
  <c r="M7" i="4"/>
  <c r="M13" i="4"/>
  <c r="M17" i="4"/>
  <c r="M24" i="4"/>
  <c r="M39" i="4"/>
  <c r="M44" i="4"/>
  <c r="M16" i="4"/>
  <c r="M18" i="4"/>
  <c r="F2" i="4"/>
  <c r="E9" i="1" s="1"/>
  <c r="C4" i="2" s="1"/>
  <c r="E10" i="1" s="1"/>
  <c r="M36" i="4"/>
  <c r="M40" i="4"/>
  <c r="M42" i="4"/>
  <c r="M6" i="4"/>
  <c r="M10" i="4"/>
  <c r="E2" i="4" l="1"/>
  <c r="C9" i="1" s="1"/>
  <c r="D4" i="2" s="1"/>
  <c r="C10" i="1" s="1"/>
  <c r="C6" i="1" s="1"/>
  <c r="C17" i="2"/>
  <c r="E6" i="1"/>
  <c r="E3" i="1"/>
  <c r="C3" i="1" l="1"/>
</calcChain>
</file>

<file path=xl/sharedStrings.xml><?xml version="1.0" encoding="utf-8"?>
<sst xmlns="http://schemas.openxmlformats.org/spreadsheetml/2006/main" count="504" uniqueCount="234">
  <si>
    <t>Valor para o mês</t>
  </si>
  <si>
    <t>Guilherme</t>
  </si>
  <si>
    <t>Stella</t>
  </si>
  <si>
    <t>Salário</t>
  </si>
  <si>
    <t>Custos Totais</t>
  </si>
  <si>
    <t>Resto o mês anterior</t>
  </si>
  <si>
    <t>Cartão Itaú</t>
  </si>
  <si>
    <t>Cartão NuBank</t>
  </si>
  <si>
    <t>Compensasão no NuBank</t>
  </si>
  <si>
    <t>Contas</t>
  </si>
  <si>
    <t xml:space="preserve">        Aluguel</t>
  </si>
  <si>
    <t xml:space="preserve">        Internet</t>
  </si>
  <si>
    <t xml:space="preserve">        Luz</t>
  </si>
  <si>
    <t xml:space="preserve">        Água</t>
  </si>
  <si>
    <t xml:space="preserve">        Gás</t>
  </si>
  <si>
    <t xml:space="preserve">        Seguranças+Câmera</t>
  </si>
  <si>
    <t xml:space="preserve">        Cartão Itaú da Stella</t>
  </si>
  <si>
    <t>Compensasões no cartão da Stella</t>
  </si>
  <si>
    <t>Dinheiro para NuConta</t>
  </si>
  <si>
    <t>Dinheiro Guardado na poupança</t>
  </si>
  <si>
    <t xml:space="preserve">       Seu João</t>
  </si>
  <si>
    <t xml:space="preserve">       Seguro</t>
  </si>
  <si>
    <t>Aluguel</t>
  </si>
  <si>
    <t xml:space="preserve">        Vivo</t>
  </si>
  <si>
    <t>Stella tem que transferir:</t>
  </si>
  <si>
    <t>Itaú Total</t>
  </si>
  <si>
    <t>Pais</t>
  </si>
  <si>
    <t>Data de compra</t>
  </si>
  <si>
    <t>Descrição</t>
  </si>
  <si>
    <t>Responsável 1</t>
  </si>
  <si>
    <t>Responsável 2</t>
  </si>
  <si>
    <t>Responsável 3</t>
  </si>
  <si>
    <t>Divisão</t>
  </si>
  <si>
    <t>Valor Total</t>
  </si>
  <si>
    <t>Modo de pagamento</t>
  </si>
  <si>
    <t>Categoria</t>
  </si>
  <si>
    <t>Valor da Parcela</t>
  </si>
  <si>
    <t>Valor por responsável</t>
  </si>
  <si>
    <t>Parcelas</t>
  </si>
  <si>
    <t>Primeira Parcela</t>
  </si>
  <si>
    <t>Última Parcela</t>
  </si>
  <si>
    <t>Parcelas pagas (vira todo dia 10)</t>
  </si>
  <si>
    <t>ADIANTAR EM OUTUBRO</t>
  </si>
  <si>
    <t>Control Resonant</t>
  </si>
  <si>
    <t>Parcelado</t>
  </si>
  <si>
    <t>Jogos</t>
  </si>
  <si>
    <t>NuBank Total</t>
  </si>
  <si>
    <t>Modo de Pagamento</t>
  </si>
  <si>
    <t>Manual</t>
  </si>
  <si>
    <t>Assinatura</t>
  </si>
  <si>
    <t>Assinaturas-Fixo</t>
  </si>
  <si>
    <t>Muay Thai</t>
  </si>
  <si>
    <t>Saúde</t>
  </si>
  <si>
    <t>Clube Literatura Clássica</t>
  </si>
  <si>
    <t>Fixo</t>
  </si>
  <si>
    <t>Hostinger Nano</t>
  </si>
  <si>
    <t>Serviços</t>
  </si>
  <si>
    <t>HBO</t>
  </si>
  <si>
    <t>Microsoft</t>
  </si>
  <si>
    <t>Seguro Tokio Marine</t>
  </si>
  <si>
    <t>Sem Parar</t>
  </si>
  <si>
    <t>Verisure</t>
  </si>
  <si>
    <t>Veroo</t>
  </si>
  <si>
    <t>Seguro Allianz</t>
  </si>
  <si>
    <t>ChatGPT</t>
  </si>
  <si>
    <t>Claude</t>
  </si>
  <si>
    <t>AI</t>
  </si>
  <si>
    <t>Amazon Prime</t>
  </si>
  <si>
    <t>Youtube</t>
  </si>
  <si>
    <t>Wellhub</t>
  </si>
  <si>
    <t>Muay Thai personal</t>
  </si>
  <si>
    <t>Câmera</t>
  </si>
  <si>
    <t>Ração</t>
  </si>
  <si>
    <t>Lavadora Midea</t>
  </si>
  <si>
    <t>Produtos</t>
  </si>
  <si>
    <t>Pacote Psiquiatra</t>
  </si>
  <si>
    <t>Cinto Sabot</t>
  </si>
  <si>
    <t>Calça moletom</t>
  </si>
  <si>
    <t>Tênis Puma - A ser estornado</t>
  </si>
  <si>
    <t>Tênis Puma - Correto</t>
  </si>
  <si>
    <t>Case+Película</t>
  </si>
  <si>
    <t>GPS Moto</t>
  </si>
  <si>
    <t>Calça Sabot</t>
  </si>
  <si>
    <t>Roupa</t>
  </si>
  <si>
    <t>Revisão Royal Enfield</t>
  </si>
  <si>
    <t>Transporte</t>
  </si>
  <si>
    <t>Calça Kevlar</t>
  </si>
  <si>
    <t>Equipamentos Grid Motors</t>
  </si>
  <si>
    <t>Racing Rabbit</t>
  </si>
  <si>
    <t>Moto</t>
  </si>
  <si>
    <t>PS Plus Samuel</t>
  </si>
  <si>
    <t>Capacete Stella</t>
  </si>
  <si>
    <t>HDMI Splitter</t>
  </si>
  <si>
    <t>Caderno Azadi Store</t>
  </si>
  <si>
    <t>Multiprocessador</t>
  </si>
  <si>
    <t>Jaqueta Stella</t>
  </si>
  <si>
    <t>Segunda Pele Kevlar</t>
  </si>
  <si>
    <t>Estorno Puma</t>
  </si>
  <si>
    <t>Estorno</t>
  </si>
  <si>
    <t>Estorno Jaqueta Grid Motors</t>
  </si>
  <si>
    <t>Rog Ally Dock</t>
  </si>
  <si>
    <t>Wolverine Pré venda</t>
  </si>
  <si>
    <t>Jogos PSN</t>
  </si>
  <si>
    <t>Luva Fairtex</t>
  </si>
  <si>
    <t>Pedrinho Bancos</t>
  </si>
  <si>
    <t>Blood of the Dawnwalker</t>
  </si>
  <si>
    <t>Escapamento JBK</t>
  </si>
  <si>
    <t>The Alters</t>
  </si>
  <si>
    <t>Pontual</t>
  </si>
  <si>
    <t>Psicóloga</t>
  </si>
  <si>
    <t>pontual</t>
  </si>
  <si>
    <t>Bonfas Chope</t>
  </si>
  <si>
    <t>Cm</t>
  </si>
  <si>
    <t>Bonfas Lanche</t>
  </si>
  <si>
    <t>Remédios Stella</t>
  </si>
  <si>
    <t>Ração Brida</t>
  </si>
  <si>
    <t>Pagamento Ração Brida</t>
  </si>
  <si>
    <t>TENTAR ADIATNAR</t>
  </si>
  <si>
    <t>Moletom Brutal Kill</t>
  </si>
  <si>
    <t>Uber Mr. Jones</t>
  </si>
  <si>
    <t>Gibs</t>
  </si>
  <si>
    <t>Serviço de nuvem da câmera</t>
  </si>
  <si>
    <t>Gasolina</t>
  </si>
  <si>
    <t>Rappi</t>
  </si>
  <si>
    <t>Lanche</t>
  </si>
  <si>
    <t>Vivo</t>
  </si>
  <si>
    <t>Luz</t>
  </si>
  <si>
    <t>Água</t>
  </si>
  <si>
    <t>Gás</t>
  </si>
  <si>
    <t>Seguranças+Câmera+Seguro Residencial</t>
  </si>
  <si>
    <t>Cartão Itaú da Stella</t>
  </si>
  <si>
    <t>Dinheiro guardado para...</t>
  </si>
  <si>
    <t>Saldo inicial</t>
  </si>
  <si>
    <t>Para retirar mês que vem?</t>
  </si>
  <si>
    <t>Movimentação</t>
  </si>
  <si>
    <t>Adiantamento Salário</t>
  </si>
  <si>
    <t>Seguro</t>
  </si>
  <si>
    <t>Reembolso Psicóloga</t>
  </si>
  <si>
    <t>Sim</t>
  </si>
  <si>
    <t>Total</t>
  </si>
  <si>
    <t>Com turbo</t>
  </si>
  <si>
    <t>Caixinha Guilherme</t>
  </si>
  <si>
    <t>Caixinha Stella</t>
  </si>
  <si>
    <t>Detran</t>
  </si>
  <si>
    <t>Sem turbo</t>
  </si>
  <si>
    <t>IPVAs + Licenciamento</t>
  </si>
  <si>
    <t>Tirando da Caixinha Turbo</t>
  </si>
  <si>
    <t>Adiantamento Stella Janeiro</t>
  </si>
  <si>
    <t>Ajuste NuConta</t>
  </si>
  <si>
    <t xml:space="preserve">Cidadania+Veterinário Brida </t>
  </si>
  <si>
    <t>Devolução Stella</t>
  </si>
  <si>
    <t>Salário afastamento</t>
  </si>
  <si>
    <t>Emergência Geleia+Vurtuoso+Terra Brasa</t>
  </si>
  <si>
    <t>Adiantamento Stella</t>
  </si>
  <si>
    <t>Galpãozin</t>
  </si>
  <si>
    <t>Fisioterapia Stella</t>
  </si>
  <si>
    <t>Pagamento Fasolina + Almoço Shirley + Linkedin+Bonfas</t>
  </si>
  <si>
    <t>INSS</t>
  </si>
  <si>
    <t>Pagamento Superbowl</t>
  </si>
  <si>
    <t>SiSenor</t>
  </si>
  <si>
    <t>Alemão</t>
  </si>
  <si>
    <t>Portão</t>
  </si>
  <si>
    <t>Devolução  Stella</t>
  </si>
  <si>
    <t xml:space="preserve">Bonfa's </t>
  </si>
  <si>
    <t>Ilumeo Março - WillBank</t>
  </si>
  <si>
    <t>Remédio e Consulta Stella</t>
  </si>
  <si>
    <t>Pagamentos</t>
  </si>
  <si>
    <t>Adiantamento INSS</t>
  </si>
  <si>
    <t>Adicional</t>
  </si>
  <si>
    <t>Pagamentos fds Páscoa</t>
  </si>
  <si>
    <t>Portão segunda parte</t>
  </si>
  <si>
    <t>Devolução INSS</t>
  </si>
  <si>
    <t>Páscoa</t>
  </si>
  <si>
    <t>Psicólogo Stella</t>
  </si>
  <si>
    <t>Estadia Lucky</t>
  </si>
  <si>
    <t>Completar INSS Maio</t>
  </si>
  <si>
    <t>PS5 Samuel</t>
  </si>
  <si>
    <t>Madero</t>
  </si>
  <si>
    <t>Monitor Daniel</t>
  </si>
  <si>
    <t>Nano</t>
  </si>
  <si>
    <t>Conserto Meriva</t>
  </si>
  <si>
    <t>Pagamento Capinha e si senor</t>
  </si>
  <si>
    <t>Adiantamento ROG</t>
  </si>
  <si>
    <t>Completar salário Junho</t>
  </si>
  <si>
    <t>Gigio</t>
  </si>
  <si>
    <t>Devolução Stella (325 do PS5)</t>
  </si>
  <si>
    <t>Julho - Bônus</t>
  </si>
  <si>
    <t>Julho - 40% 13º</t>
  </si>
  <si>
    <t>Julho - Pagamentos Necessários</t>
  </si>
  <si>
    <t>Pagamento Edilson</t>
  </si>
  <si>
    <t>Ilumeo Julho - 1º PPT</t>
  </si>
  <si>
    <t>Control+Dawnwalker</t>
  </si>
  <si>
    <t>Agosto</t>
  </si>
  <si>
    <t>Ilumeo Agosto - 2º PPT</t>
  </si>
  <si>
    <t>Setembro</t>
  </si>
  <si>
    <t>Passagens - Compradas em agosto</t>
  </si>
  <si>
    <t>Restituição IR</t>
  </si>
  <si>
    <t>Outubro</t>
  </si>
  <si>
    <t>Pagamento Control</t>
  </si>
  <si>
    <t>Novembro</t>
  </si>
  <si>
    <t>Dawnwalker</t>
  </si>
  <si>
    <t>Pagamento Dawnwalker</t>
  </si>
  <si>
    <t>Dezembro</t>
  </si>
  <si>
    <t>Ilumeo Dezembro - 3º PPT</t>
  </si>
  <si>
    <t>Segunda Parcela 13º</t>
  </si>
  <si>
    <t>Janeiro</t>
  </si>
  <si>
    <t>Fevereiro</t>
  </si>
  <si>
    <t>Março</t>
  </si>
  <si>
    <t>Dinheiro para Europa</t>
  </si>
  <si>
    <t>Abril</t>
  </si>
  <si>
    <t>Maio</t>
  </si>
  <si>
    <t>Ilumeo Maio - 4º PPT</t>
  </si>
  <si>
    <t>Junho</t>
  </si>
  <si>
    <t>Julho</t>
  </si>
  <si>
    <t>Conta</t>
  </si>
  <si>
    <t>Pago?</t>
  </si>
  <si>
    <t>Obs.</t>
  </si>
  <si>
    <t>OK</t>
  </si>
  <si>
    <t>Ok</t>
  </si>
  <si>
    <t>Câmeras</t>
  </si>
  <si>
    <t>NuBank</t>
  </si>
  <si>
    <t>Seu João</t>
  </si>
  <si>
    <t>Dera</t>
  </si>
  <si>
    <t>Gibis</t>
  </si>
  <si>
    <t>Bonffas Beer</t>
  </si>
  <si>
    <t>Gasolina Pirassunusng</t>
  </si>
  <si>
    <t>Hot Wheels</t>
  </si>
  <si>
    <t>Pagamento Hot Wheels</t>
  </si>
  <si>
    <t>Kikão</t>
  </si>
  <si>
    <t>Gasolina de Volta</t>
  </si>
  <si>
    <t>Odisseia</t>
  </si>
  <si>
    <t>Pagamento Odisseia</t>
  </si>
  <si>
    <t>Dinheiro Nano</t>
  </si>
  <si>
    <t>Recolhimento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</si>
</sst>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 &quot;* #,##0.00_-;&quot;-R$ &quot;* #,##0.00_-;_-&quot;R$ &quot;* \-??_-;_-@_-"/>
    <numFmt numFmtId="165" formatCode="m/d/yyyy"/>
    <numFmt numFmtId="166" formatCode="_(\$* #,##0.00_);_(\$* \(#,##0.00\);_(\$* \-??_);_(@_)"/>
  </numFmts>
  <fonts count="16" x14ac:knownFonts="1">
    <font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 tint="0.3498947111423078"/>
      <name val="Calibri"/>
      <family val="2"/>
      <charset val="1"/>
    </font>
    <font>
      <sz val="10"/>
      <color theme="1" tint="0.3498947111423078"/>
      <name val="Calibri"/>
      <family val="2"/>
      <charset val="1"/>
    </font>
    <font>
      <sz val="11"/>
      <color theme="1" tint="0.3498947111423078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trike/>
      <sz val="10"/>
      <color theme="1" tint="0.3498947111423078"/>
      <name val="Calibri"/>
      <family val="2"/>
      <charset val="1"/>
    </font>
    <font>
      <strike/>
      <sz val="10"/>
      <color theme="1" tint="0.3498947111423078"/>
      <name val="Calibri"/>
      <family val="2"/>
      <charset val="1"/>
    </font>
    <font>
      <b/>
      <sz val="14"/>
      <color theme="4" tint="-0.249977111117893"/>
      <name val="Calibri"/>
      <family val="2"/>
      <charset val="1"/>
    </font>
    <font>
      <b/>
      <sz val="14"/>
      <color theme="0"/>
      <name val="Calibri"/>
      <family val="2"/>
      <charset val="1"/>
    </font>
    <font>
      <sz val="9"/>
      <color rgb="FF231F20"/>
      <name val="Arial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rgb="FFE8E8E8"/>
      </patternFill>
    </fill>
    <fill>
      <patternFill patternType="solid">
        <fgColor theme="9" tint="0.79989013336588644"/>
        <bgColor rgb="FFE8E8E8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rgb="FF7030A0"/>
        <bgColor rgb="FF99336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thin">
        <color auto="1"/>
      </bottom>
      <diagonal/>
    </border>
    <border>
      <left style="thick">
        <color rgb="FFE8E8E8"/>
      </left>
      <right style="thick">
        <color rgb="FFE8E8E8"/>
      </right>
      <top style="thick">
        <color rgb="FFE8E8E8"/>
      </top>
      <bottom style="thick">
        <color rgb="FFE8E8E8"/>
      </bottom>
      <diagonal/>
    </border>
  </borders>
  <cellStyleXfs count="2">
    <xf numFmtId="0" fontId="0" fillId="0" borderId="0"/>
    <xf numFmtId="166" fontId="14" fillId="0" borderId="0"/>
  </cellStyleXfs>
  <cellXfs count="79">
    <xf numFmtId="0" fontId="0" fillId="0" borderId="0" xfId="0"/>
    <xf numFmtId="164" fontId="14" fillId="0" borderId="0" xfId="1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0" fontId="3" fillId="0" borderId="4" xfId="0" applyFont="1" applyBorder="1"/>
    <xf numFmtId="164" fontId="14" fillId="0" borderId="4" xfId="1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3" borderId="4" xfId="0" applyFont="1" applyFill="1" applyBorder="1"/>
    <xf numFmtId="164" fontId="14" fillId="3" borderId="4" xfId="1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0" borderId="4" xfId="0" applyFont="1" applyBorder="1"/>
    <xf numFmtId="164" fontId="5" fillId="0" borderId="4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0" fillId="0" borderId="0" xfId="0" applyNumberFormat="1"/>
    <xf numFmtId="0" fontId="4" fillId="4" borderId="4" xfId="0" applyFont="1" applyFill="1" applyBorder="1"/>
    <xf numFmtId="164" fontId="5" fillId="4" borderId="4" xfId="1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3" borderId="4" xfId="0" applyFont="1" applyFill="1" applyBorder="1"/>
    <xf numFmtId="164" fontId="5" fillId="3" borderId="4" xfId="1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164" fontId="14" fillId="0" borderId="4" xfId="1" applyNumberFormat="1" applyBorder="1"/>
    <xf numFmtId="0" fontId="9" fillId="0" borderId="4" xfId="0" applyFont="1" applyBorder="1"/>
    <xf numFmtId="164" fontId="10" fillId="0" borderId="4" xfId="1" applyNumberFormat="1" applyFont="1" applyBorder="1" applyAlignment="1">
      <alignment horizontal="center"/>
    </xf>
    <xf numFmtId="164" fontId="14" fillId="3" borderId="4" xfId="1" applyNumberFormat="1" applyFill="1" applyBorder="1"/>
    <xf numFmtId="164" fontId="0" fillId="0" borderId="0" xfId="0" applyNumberFormat="1" applyAlignment="1">
      <alignment horizontal="center"/>
    </xf>
    <xf numFmtId="0" fontId="11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11" fillId="5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165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64" fontId="14" fillId="0" borderId="5" xfId="1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14" fillId="0" borderId="0" xfId="1" applyNumberFormat="1"/>
    <xf numFmtId="0" fontId="12" fillId="7" borderId="2" xfId="0" applyFont="1" applyFill="1" applyBorder="1" applyAlignment="1">
      <alignment horizontal="center" vertical="center"/>
    </xf>
    <xf numFmtId="164" fontId="12" fillId="7" borderId="3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0" borderId="0" xfId="0" applyFont="1"/>
    <xf numFmtId="0" fontId="3" fillId="0" borderId="6" xfId="0" applyFont="1" applyBorder="1"/>
    <xf numFmtId="164" fontId="14" fillId="0" borderId="6" xfId="1" applyNumberFormat="1" applyBorder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14" fillId="0" borderId="6" xfId="1" applyNumberFormat="1" applyBorder="1" applyAlignment="1">
      <alignment horizontal="center"/>
    </xf>
    <xf numFmtId="164" fontId="14" fillId="2" borderId="0" xfId="1" applyNumberFormat="1" applyFill="1" applyAlignment="1">
      <alignment horizontal="center"/>
    </xf>
    <xf numFmtId="0" fontId="0" fillId="0" borderId="5" xfId="0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164" fontId="14" fillId="4" borderId="5" xfId="1" applyNumberFormat="1" applyFill="1" applyBorder="1" applyAlignment="1">
      <alignment horizontal="center"/>
    </xf>
    <xf numFmtId="2" fontId="13" fillId="0" borderId="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 wrapText="1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8" borderId="5" xfId="0" applyFill="1" applyBorder="1" applyAlignment="1">
      <alignment wrapText="1"/>
    </xf>
    <xf numFmtId="0" fontId="0" fillId="9" borderId="5" xfId="0" applyFill="1" applyBorder="1" applyAlignment="1">
      <alignment wrapText="1"/>
    </xf>
    <xf numFmtId="0" fontId="0" fillId="10" borderId="5" xfId="0" applyFill="1" applyBorder="1" applyAlignment="1">
      <alignment wrapText="1"/>
    </xf>
    <xf numFmtId="164" fontId="14" fillId="11" borderId="5" xfId="1" applyNumberFormat="1" applyFill="1" applyBorder="1" applyAlignment="1">
      <alignment horizontal="center"/>
    </xf>
    <xf numFmtId="0" fontId="0" fillId="12" borderId="5" xfId="0" applyFill="1" applyBorder="1" applyAlignment="1">
      <alignment wrapText="1"/>
    </xf>
    <xf numFmtId="165" fontId="0" fillId="0" borderId="5" xfId="0" applyNumberFormat="1" applyBorder="1" applyAlignment="1">
      <alignment horizontal="center" wrapText="1"/>
    </xf>
    <xf numFmtId="0" fontId="0" fillId="0" borderId="6" xfId="0" applyBorder="1"/>
    <xf numFmtId="0" fontId="3" fillId="0" borderId="6" xfId="0" applyFont="1" applyBorder="1" applyAlignment="1">
      <alignment horizontal="left" wrapText="1"/>
    </xf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Moeda" xfId="1" builtinId="4"/>
    <cellStyle name="Normal" xfId="0" builtinId="0"/>
  </cellStyles>
  <dxfs count="1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ill>
        <patternFill>
          <bgColor theme="7" tint="0.79989013336588644"/>
        </patternFill>
      </fill>
    </dxf>
    <dxf>
      <fill>
        <patternFill>
          <bgColor theme="4" tint="0.79989013336588644"/>
        </patternFill>
      </fill>
    </dxf>
    <dxf>
      <font>
        <b/>
        <color rgb="FF00B050"/>
      </font>
    </dxf>
    <dxf>
      <fill>
        <patternFill>
          <bgColor theme="7" tint="0.79989013336588644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8E8E8"/>
      <rgbColor rgb="FFA9D18E"/>
      <rgbColor rgb="FFFF99CC"/>
      <rgbColor rgb="FFCC99FF"/>
      <rgbColor rgb="FFFBE5D6"/>
      <rgbColor rgb="FF3366FF"/>
      <rgbColor rgb="FF33CCCC"/>
      <rgbColor rgb="FF99CC00"/>
      <rgbColor rgb="FFFFC000"/>
      <rgbColor rgb="FFFF9900"/>
      <rgbColor rgb="FFED7D31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2F5597"/>
      <rgbColor rgb="FF231F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10" row="7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D697524-CACA-411B-82E7-89B61FD87742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4ecfaacd-4f84-4948-995a-1cdc1a37aab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572778C-6C25-43A7-93DF-2F0194BD0ECD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3608b2b8-8570-49b7-8948-a5251fc59ac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7"/>
  <sheetViews>
    <sheetView showGridLines="0" zoomScaleNormal="100" workbookViewId="0">
      <selection activeCell="C6" sqref="C6"/>
    </sheetView>
  </sheetViews>
  <sheetFormatPr defaultColWidth="8.7109375" defaultRowHeight="15" outlineLevelRow="1" x14ac:dyDescent="0.25"/>
  <cols>
    <col min="2" max="2" width="28.7109375" customWidth="1"/>
    <col min="3" max="3" width="19.85546875" style="1" customWidth="1"/>
    <col min="4" max="4" width="3.28515625" style="2" customWidth="1"/>
    <col min="5" max="5" width="19.85546875" style="2" customWidth="1"/>
    <col min="6" max="6" width="12.28515625" customWidth="1"/>
  </cols>
  <sheetData>
    <row r="1" spans="2:6" ht="15.75" customHeight="1" x14ac:dyDescent="0.25"/>
    <row r="2" spans="2:6" ht="23.25" customHeight="1" x14ac:dyDescent="0.35">
      <c r="B2" s="77" t="s">
        <v>0</v>
      </c>
      <c r="C2" s="3" t="s">
        <v>1</v>
      </c>
      <c r="D2" s="4"/>
      <c r="E2" s="5" t="s">
        <v>2</v>
      </c>
    </row>
    <row r="3" spans="2:6" ht="24" customHeight="1" x14ac:dyDescent="0.35">
      <c r="B3" s="78"/>
      <c r="C3" s="6">
        <f>C5-C8-C10-C11-C22+C23+C7</f>
        <v>1732.8714047619037</v>
      </c>
      <c r="D3" s="4"/>
      <c r="E3" s="6">
        <f>E5-E8-E10-E11-E22+E23</f>
        <v>3729.3575000000001</v>
      </c>
    </row>
    <row r="4" spans="2:6" ht="7.5" customHeight="1" x14ac:dyDescent="0.25"/>
    <row r="5" spans="2:6" x14ac:dyDescent="0.25">
      <c r="B5" s="7" t="s">
        <v>3</v>
      </c>
      <c r="C5" s="8">
        <v>10000</v>
      </c>
      <c r="D5" s="9"/>
      <c r="E5" s="8">
        <v>10000</v>
      </c>
    </row>
    <row r="6" spans="2:6" x14ac:dyDescent="0.25">
      <c r="B6" s="7" t="s">
        <v>4</v>
      </c>
      <c r="C6" s="8">
        <f>-SUM(C8,C10,C11)</f>
        <v>-7605.1285952380968</v>
      </c>
      <c r="D6" s="9"/>
      <c r="E6" s="8">
        <f>-SUM(E8,E10,E11)</f>
        <v>-5270.6424999999999</v>
      </c>
    </row>
    <row r="7" spans="2:6" x14ac:dyDescent="0.25">
      <c r="B7" s="7" t="s">
        <v>5</v>
      </c>
      <c r="C7" s="8"/>
      <c r="D7" s="9"/>
      <c r="E7" s="8"/>
    </row>
    <row r="8" spans="2:6" x14ac:dyDescent="0.25">
      <c r="B8" s="7" t="s">
        <v>6</v>
      </c>
      <c r="C8" s="8">
        <f>Itaú!E2</f>
        <v>40.161666666666669</v>
      </c>
      <c r="D8" s="9"/>
      <c r="E8" s="8">
        <f>Itaú!F2</f>
        <v>0</v>
      </c>
    </row>
    <row r="9" spans="2:6" x14ac:dyDescent="0.25">
      <c r="B9" s="7" t="s">
        <v>7</v>
      </c>
      <c r="C9" s="8">
        <f>NuBank!E2</f>
        <v>5182.8969285714293</v>
      </c>
      <c r="D9" s="9"/>
      <c r="E9" s="8">
        <f>NuBank!F2</f>
        <v>1888.5724999999998</v>
      </c>
    </row>
    <row r="10" spans="2:6" x14ac:dyDescent="0.25">
      <c r="B10" s="10" t="s">
        <v>8</v>
      </c>
      <c r="C10" s="11">
        <f>'Compensasões e Transferências'!D4</f>
        <v>5182.8969285714293</v>
      </c>
      <c r="D10" s="12"/>
      <c r="E10" s="11">
        <f>'Compensasões e Transferências'!C4</f>
        <v>1888.5724999999998</v>
      </c>
    </row>
    <row r="11" spans="2:6" x14ac:dyDescent="0.25">
      <c r="B11" s="7" t="s">
        <v>9</v>
      </c>
      <c r="C11" s="8">
        <f>Contas!B6</f>
        <v>2382.0700000000002</v>
      </c>
      <c r="D11" s="9"/>
      <c r="E11" s="8">
        <f>Contas!B9</f>
        <v>3382.07</v>
      </c>
    </row>
    <row r="12" spans="2:6" outlineLevel="1" x14ac:dyDescent="0.25">
      <c r="B12" s="13" t="s">
        <v>10</v>
      </c>
      <c r="C12" s="14">
        <f>Contas!K3</f>
        <v>1617.835</v>
      </c>
      <c r="D12" s="15"/>
      <c r="E12" s="14">
        <f>Contas!K3</f>
        <v>1617.835</v>
      </c>
    </row>
    <row r="13" spans="2:6" outlineLevel="1" x14ac:dyDescent="0.25">
      <c r="B13" s="13" t="s">
        <v>11</v>
      </c>
      <c r="C13" s="14">
        <f>Contas!K4</f>
        <v>222</v>
      </c>
      <c r="D13" s="15"/>
      <c r="E13" s="14">
        <f>Contas!K4</f>
        <v>222</v>
      </c>
    </row>
    <row r="14" spans="2:6" outlineLevel="1" x14ac:dyDescent="0.25">
      <c r="B14" s="13" t="s">
        <v>12</v>
      </c>
      <c r="C14" s="14">
        <f>Contas!K5</f>
        <v>180</v>
      </c>
      <c r="D14" s="15"/>
      <c r="E14" s="14">
        <f>Contas!K5</f>
        <v>180</v>
      </c>
      <c r="F14" s="16"/>
    </row>
    <row r="15" spans="2:6" outlineLevel="1" x14ac:dyDescent="0.25">
      <c r="B15" s="13" t="s">
        <v>13</v>
      </c>
      <c r="C15" s="14">
        <f>Contas!K6</f>
        <v>43.35</v>
      </c>
      <c r="D15" s="15"/>
      <c r="E15" s="14">
        <f>Contas!K6</f>
        <v>43.35</v>
      </c>
    </row>
    <row r="16" spans="2:6" outlineLevel="1" x14ac:dyDescent="0.25">
      <c r="B16" s="13" t="s">
        <v>14</v>
      </c>
      <c r="C16" s="14">
        <f>Contas!K7</f>
        <v>23</v>
      </c>
      <c r="D16" s="15"/>
      <c r="E16" s="14">
        <f>Contas!K7</f>
        <v>23</v>
      </c>
    </row>
    <row r="17" spans="2:5" outlineLevel="1" x14ac:dyDescent="0.25">
      <c r="B17" s="13" t="s">
        <v>15</v>
      </c>
      <c r="C17" s="14">
        <f>Contas!$K9</f>
        <v>183.5</v>
      </c>
      <c r="D17" s="15"/>
      <c r="E17" s="14">
        <f>Contas!K9</f>
        <v>183.5</v>
      </c>
    </row>
    <row r="18" spans="2:5" outlineLevel="1" x14ac:dyDescent="0.25">
      <c r="B18" s="17" t="s">
        <v>16</v>
      </c>
      <c r="C18" s="18"/>
      <c r="D18" s="19"/>
      <c r="E18" s="18">
        <v>1000</v>
      </c>
    </row>
    <row r="19" spans="2:5" outlineLevel="1" x14ac:dyDescent="0.25">
      <c r="B19" s="20" t="s">
        <v>17</v>
      </c>
      <c r="C19" s="21"/>
      <c r="D19" s="22"/>
      <c r="E19" s="21"/>
    </row>
    <row r="20" spans="2:5" outlineLevel="1" x14ac:dyDescent="0.25">
      <c r="B20" s="13"/>
      <c r="C20" s="14"/>
      <c r="D20" s="15"/>
      <c r="E20" s="14"/>
    </row>
    <row r="21" spans="2:5" outlineLevel="1" x14ac:dyDescent="0.25">
      <c r="B21" s="13"/>
      <c r="C21" s="14"/>
      <c r="D21" s="15"/>
      <c r="E21" s="14"/>
    </row>
    <row r="22" spans="2:5" x14ac:dyDescent="0.25">
      <c r="B22" s="7" t="s">
        <v>18</v>
      </c>
      <c r="C22" s="8">
        <v>1000</v>
      </c>
      <c r="D22" s="9"/>
      <c r="E22" s="8">
        <v>1000</v>
      </c>
    </row>
    <row r="23" spans="2:5" x14ac:dyDescent="0.25">
      <c r="B23" s="7" t="s">
        <v>19</v>
      </c>
      <c r="C23" s="8">
        <f>SUM(C24:C35)</f>
        <v>338</v>
      </c>
      <c r="D23" s="8"/>
      <c r="E23" s="8">
        <f>SUM(E24:E33)</f>
        <v>0</v>
      </c>
    </row>
    <row r="24" spans="2:5" outlineLevel="1" x14ac:dyDescent="0.25">
      <c r="B24" s="13" t="s">
        <v>20</v>
      </c>
      <c r="C24" s="14" t="str">
        <f>IF('NuConta e Poupança'!M5="Sim",'NuConta e Poupança'!N5,"")</f>
        <v/>
      </c>
      <c r="D24" s="15"/>
      <c r="E24" s="14"/>
    </row>
    <row r="25" spans="2:5" outlineLevel="1" x14ac:dyDescent="0.25">
      <c r="B25" s="13" t="s">
        <v>21</v>
      </c>
      <c r="C25" s="14"/>
      <c r="D25" s="23"/>
      <c r="E25" s="24"/>
    </row>
    <row r="26" spans="2:5" outlineLevel="1" x14ac:dyDescent="0.25">
      <c r="B26" s="13" t="str">
        <f>"       "&amp;'NuConta e Poupança'!L7</f>
        <v xml:space="preserve">       </v>
      </c>
      <c r="C26" s="14" t="str">
        <f>IF('NuConta e Poupança'!M7="Sim",'NuConta e Poupança'!N7,"")</f>
        <v/>
      </c>
      <c r="D26" s="23"/>
      <c r="E26" s="24"/>
    </row>
    <row r="27" spans="2:5" outlineLevel="1" x14ac:dyDescent="0.25">
      <c r="B27" s="13" t="str">
        <f>"       "&amp;'NuConta e Poupança'!L8</f>
        <v xml:space="preserve">       Reembolso Psicóloga</v>
      </c>
      <c r="C27" s="14">
        <f>IF('NuConta e Poupança'!M8="Sim",'NuConta e Poupança'!N8,"")</f>
        <v>338</v>
      </c>
      <c r="D27" s="23"/>
      <c r="E27" s="24"/>
    </row>
    <row r="28" spans="2:5" outlineLevel="1" x14ac:dyDescent="0.25">
      <c r="B28" s="13" t="str">
        <f>"       "&amp;'NuConta e Poupança'!L9</f>
        <v xml:space="preserve">       </v>
      </c>
      <c r="C28" s="14" t="str">
        <f>IF('NuConta e Poupança'!M9="Sim",'NuConta e Poupança'!N9,"")</f>
        <v/>
      </c>
      <c r="D28" s="23"/>
      <c r="E28" s="24"/>
    </row>
    <row r="29" spans="2:5" outlineLevel="1" x14ac:dyDescent="0.25">
      <c r="B29" s="13" t="str">
        <f>"       "&amp;'NuConta e Poupança'!L10</f>
        <v xml:space="preserve">       </v>
      </c>
      <c r="C29" s="14" t="str">
        <f>IF('NuConta e Poupança'!M10="Sim",'NuConta e Poupança'!N10,"")</f>
        <v/>
      </c>
      <c r="D29" s="23"/>
      <c r="E29" s="24"/>
    </row>
    <row r="30" spans="2:5" outlineLevel="1" x14ac:dyDescent="0.25">
      <c r="B30" s="13" t="str">
        <f>"       "&amp;'NuConta e Poupança'!L12</f>
        <v xml:space="preserve">       </v>
      </c>
      <c r="C30" s="14" t="str">
        <f>IF('NuConta e Poupança'!M12="Sim",'NuConta e Poupança'!N11,"")</f>
        <v/>
      </c>
      <c r="D30" s="23"/>
      <c r="E30" s="24"/>
    </row>
    <row r="31" spans="2:5" outlineLevel="1" x14ac:dyDescent="0.25">
      <c r="B31" s="13" t="str">
        <f>"       "&amp;'NuConta e Poupança'!L13</f>
        <v xml:space="preserve">       </v>
      </c>
      <c r="C31" s="14" t="str">
        <f>IF('NuConta e Poupança'!M13="Sim",'NuConta e Poupança'!N12,"")</f>
        <v/>
      </c>
      <c r="D31" s="23"/>
      <c r="E31" s="24"/>
    </row>
    <row r="32" spans="2:5" outlineLevel="1" x14ac:dyDescent="0.25">
      <c r="B32" s="13" t="str">
        <f>"       "&amp;'NuConta e Poupança'!L14</f>
        <v xml:space="preserve">       </v>
      </c>
      <c r="C32" s="14" t="str">
        <f>IF('NuConta e Poupança'!M14="Sim",'NuConta e Poupança'!N13,"")</f>
        <v/>
      </c>
      <c r="D32" s="23"/>
      <c r="E32" s="24"/>
    </row>
    <row r="33" spans="2:6" outlineLevel="1" x14ac:dyDescent="0.25">
      <c r="B33" s="13" t="str">
        <f>"       "&amp;'NuConta e Poupança'!L15</f>
        <v xml:space="preserve">       </v>
      </c>
      <c r="C33" s="14" t="str">
        <f>IF('NuConta e Poupança'!M15="Sim",'NuConta e Poupança'!N14,"")</f>
        <v/>
      </c>
      <c r="D33" s="23"/>
      <c r="E33" s="24"/>
    </row>
    <row r="34" spans="2:6" x14ac:dyDescent="0.25">
      <c r="B34" s="13" t="str">
        <f>"       "&amp;'NuConta e Poupança'!L16</f>
        <v xml:space="preserve">       </v>
      </c>
      <c r="C34" s="14" t="str">
        <f>IF('NuConta e Poupança'!M16="Sim",'NuConta e Poupança'!N15,"")</f>
        <v/>
      </c>
      <c r="D34" s="23"/>
      <c r="E34" s="24"/>
      <c r="F34" s="16"/>
    </row>
    <row r="35" spans="2:6" x14ac:dyDescent="0.25">
      <c r="B35" s="13" t="str">
        <f>"       "&amp;'NuConta e Poupança'!L17</f>
        <v xml:space="preserve">       </v>
      </c>
      <c r="C35" s="14" t="str">
        <f>IF('NuConta e Poupança'!M17="Sim",'NuConta e Poupança'!N16,"")</f>
        <v/>
      </c>
      <c r="D35" s="23"/>
      <c r="E35" s="24"/>
      <c r="F35" s="16"/>
    </row>
    <row r="36" spans="2:6" x14ac:dyDescent="0.25">
      <c r="B36" s="13" t="str">
        <f>"       "&amp;'NuConta e Poupança'!L21</f>
        <v xml:space="preserve">       </v>
      </c>
      <c r="C36" s="14" t="str">
        <f>IF('NuConta e Poupança'!M21="Sim",'NuConta e Poupança'!N20,"")</f>
        <v/>
      </c>
      <c r="D36" s="23"/>
      <c r="E36" s="24"/>
    </row>
    <row r="37" spans="2:6" x14ac:dyDescent="0.25">
      <c r="B37" s="13" t="str">
        <f>"       "&amp;'NuConta e Poupança'!L22</f>
        <v xml:space="preserve">       </v>
      </c>
      <c r="C37" s="14" t="str">
        <f>IF('NuConta e Poupança'!M22="Sim",'NuConta e Poupança'!N21,"")</f>
        <v/>
      </c>
      <c r="D37" s="23"/>
      <c r="E37" s="24"/>
    </row>
  </sheetData>
  <mergeCells count="1">
    <mergeCell ref="B2:B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9"/>
  <sheetViews>
    <sheetView showGridLines="0" zoomScaleNormal="100" workbookViewId="0">
      <selection activeCell="J11" sqref="J11"/>
    </sheetView>
  </sheetViews>
  <sheetFormatPr defaultColWidth="8.7109375" defaultRowHeight="15" x14ac:dyDescent="0.25"/>
  <cols>
    <col min="1" max="1" width="16.7109375" customWidth="1"/>
    <col min="2" max="2" width="21.7109375" customWidth="1"/>
    <col min="3" max="3" width="12.7109375" style="2" customWidth="1"/>
    <col min="4" max="4" width="13.42578125" customWidth="1"/>
    <col min="5" max="5" width="17" customWidth="1"/>
  </cols>
  <sheetData>
    <row r="1" spans="2:4" ht="39" customHeight="1" x14ac:dyDescent="0.25"/>
    <row r="2" spans="2:4" ht="18.75" customHeight="1" x14ac:dyDescent="0.3">
      <c r="B2" s="25"/>
      <c r="C2" s="26" t="s">
        <v>2</v>
      </c>
      <c r="D2" s="26" t="s">
        <v>1</v>
      </c>
    </row>
    <row r="3" spans="2:4" x14ac:dyDescent="0.25">
      <c r="B3" s="7" t="s">
        <v>6</v>
      </c>
      <c r="C3" s="8">
        <f>Saldo!E8</f>
        <v>0</v>
      </c>
      <c r="D3" s="27">
        <f>Saldo!C8</f>
        <v>40.161666666666669</v>
      </c>
    </row>
    <row r="4" spans="2:4" x14ac:dyDescent="0.25">
      <c r="B4" s="7" t="s">
        <v>7</v>
      </c>
      <c r="C4" s="8">
        <f>Saldo!E9+C5</f>
        <v>1888.5724999999998</v>
      </c>
      <c r="D4" s="27">
        <f>Saldo!C9+D5</f>
        <v>5182.8969285714293</v>
      </c>
    </row>
    <row r="5" spans="2:4" x14ac:dyDescent="0.25">
      <c r="B5" s="7"/>
      <c r="C5" s="8"/>
      <c r="D5" s="8"/>
    </row>
    <row r="6" spans="2:4" x14ac:dyDescent="0.25">
      <c r="B6" s="13"/>
      <c r="C6" s="8"/>
      <c r="D6" s="8"/>
    </row>
    <row r="7" spans="2:4" x14ac:dyDescent="0.25">
      <c r="B7" s="13"/>
      <c r="C7" s="8"/>
      <c r="D7" s="27"/>
    </row>
    <row r="8" spans="2:4" x14ac:dyDescent="0.25">
      <c r="B8" s="13"/>
      <c r="C8" s="8"/>
      <c r="D8" s="27"/>
    </row>
    <row r="9" spans="2:4" x14ac:dyDescent="0.25">
      <c r="B9" s="13"/>
      <c r="C9" s="8"/>
      <c r="D9" s="27"/>
    </row>
    <row r="10" spans="2:4" x14ac:dyDescent="0.25">
      <c r="B10" s="7" t="s">
        <v>9</v>
      </c>
      <c r="C10" s="8">
        <f>SUM(C11,C13:C16)</f>
        <v>2047.6849999999999</v>
      </c>
      <c r="D10" s="7"/>
    </row>
    <row r="11" spans="2:4" x14ac:dyDescent="0.25">
      <c r="B11" s="13" t="s">
        <v>22</v>
      </c>
      <c r="C11" s="14">
        <f>Saldo!E12</f>
        <v>1617.835</v>
      </c>
      <c r="D11" s="13"/>
    </row>
    <row r="12" spans="2:4" x14ac:dyDescent="0.25">
      <c r="B12" s="28" t="s">
        <v>23</v>
      </c>
      <c r="C12" s="29">
        <f>Contas!K4</f>
        <v>222</v>
      </c>
      <c r="D12" s="13"/>
    </row>
    <row r="13" spans="2:4" x14ac:dyDescent="0.25">
      <c r="B13" s="13" t="s">
        <v>12</v>
      </c>
      <c r="C13" s="14">
        <f>Contas!K5</f>
        <v>180</v>
      </c>
      <c r="D13" s="13"/>
    </row>
    <row r="14" spans="2:4" x14ac:dyDescent="0.25">
      <c r="B14" s="13" t="s">
        <v>13</v>
      </c>
      <c r="C14" s="14">
        <f>Contas!K6</f>
        <v>43.35</v>
      </c>
      <c r="D14" s="13"/>
    </row>
    <row r="15" spans="2:4" x14ac:dyDescent="0.25">
      <c r="B15" s="13" t="s">
        <v>14</v>
      </c>
      <c r="C15" s="14">
        <f>Contas!K7</f>
        <v>23</v>
      </c>
      <c r="D15" s="13"/>
    </row>
    <row r="16" spans="2:4" x14ac:dyDescent="0.25">
      <c r="B16" s="13" t="s">
        <v>15</v>
      </c>
      <c r="C16" s="14">
        <f>Saldo!E17</f>
        <v>183.5</v>
      </c>
      <c r="D16" s="13"/>
    </row>
    <row r="17" spans="2:4" x14ac:dyDescent="0.25">
      <c r="B17" s="10" t="s">
        <v>24</v>
      </c>
      <c r="C17" s="11">
        <f>SUM(C3,C4,C5,C10)</f>
        <v>3936.2574999999997</v>
      </c>
      <c r="D17" s="30"/>
    </row>
    <row r="18" spans="2:4" x14ac:dyDescent="0.25">
      <c r="C18" s="1"/>
    </row>
    <row r="19" spans="2:4" x14ac:dyDescent="0.25">
      <c r="C19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C1:Q67"/>
  <sheetViews>
    <sheetView showGridLines="0" zoomScaleNormal="100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C6" sqref="C6"/>
    </sheetView>
  </sheetViews>
  <sheetFormatPr defaultColWidth="8.7109375" defaultRowHeight="15" x14ac:dyDescent="0.25"/>
  <cols>
    <col min="1" max="2" width="2" customWidth="1"/>
    <col min="3" max="3" width="35.7109375" style="2" customWidth="1"/>
    <col min="4" max="4" width="41" customWidth="1"/>
    <col min="5" max="6" width="22.5703125" style="2" customWidth="1"/>
    <col min="7" max="7" width="22.5703125" customWidth="1"/>
    <col min="8" max="9" width="13.5703125" customWidth="1"/>
    <col min="10" max="10" width="20" customWidth="1"/>
    <col min="11" max="11" width="15.5703125" customWidth="1"/>
    <col min="12" max="16" width="13.5703125" customWidth="1"/>
    <col min="17" max="17" width="17" style="2" customWidth="1"/>
    <col min="18" max="18" width="10.7109375" customWidth="1"/>
  </cols>
  <sheetData>
    <row r="1" spans="3:17" ht="18.75" customHeight="1" x14ac:dyDescent="0.25">
      <c r="D1" s="32" t="s">
        <v>25</v>
      </c>
      <c r="E1" s="33" t="s">
        <v>1</v>
      </c>
      <c r="F1" s="33" t="s">
        <v>2</v>
      </c>
      <c r="G1" s="33" t="s">
        <v>26</v>
      </c>
    </row>
    <row r="2" spans="3:17" ht="19.5" customHeight="1" x14ac:dyDescent="0.25">
      <c r="D2" s="34">
        <f>SUM(L5:L21)</f>
        <v>40.161666666666669</v>
      </c>
      <c r="E2" s="35">
        <f>SUMIF($E$5:$E$29,E1,$M$5:$M$29)</f>
        <v>40.161666666666669</v>
      </c>
      <c r="F2" s="35">
        <f>SUMIF($F$5:$F$29,F1,$M$5:$M$29)</f>
        <v>0</v>
      </c>
      <c r="G2" s="35">
        <f>SUMIF($G$5:$G$29,G1,$M$5:$M$29)</f>
        <v>0</v>
      </c>
    </row>
    <row r="4" spans="3:17" ht="30" customHeight="1" x14ac:dyDescent="0.25">
      <c r="C4" s="36" t="s">
        <v>27</v>
      </c>
      <c r="D4" s="36" t="s">
        <v>28</v>
      </c>
      <c r="E4" s="36" t="s">
        <v>29</v>
      </c>
      <c r="F4" s="36" t="s">
        <v>30</v>
      </c>
      <c r="G4" s="36" t="s">
        <v>31</v>
      </c>
      <c r="H4" s="37" t="s">
        <v>32</v>
      </c>
      <c r="I4" s="36" t="s">
        <v>33</v>
      </c>
      <c r="J4" s="36" t="s">
        <v>34</v>
      </c>
      <c r="K4" s="36" t="s">
        <v>35</v>
      </c>
      <c r="L4" s="37" t="s">
        <v>36</v>
      </c>
      <c r="M4" s="37" t="s">
        <v>37</v>
      </c>
      <c r="N4" s="37" t="s">
        <v>38</v>
      </c>
      <c r="O4" s="36" t="s">
        <v>39</v>
      </c>
      <c r="P4" s="36" t="s">
        <v>40</v>
      </c>
      <c r="Q4" s="37" t="s">
        <v>41</v>
      </c>
    </row>
    <row r="5" spans="3:17" ht="16.5" customHeight="1" x14ac:dyDescent="0.25">
      <c r="C5" s="73" t="s">
        <v>42</v>
      </c>
      <c r="D5" s="39" t="s">
        <v>43</v>
      </c>
      <c r="E5" s="40" t="s">
        <v>1</v>
      </c>
      <c r="F5" s="40"/>
      <c r="G5" s="40"/>
      <c r="H5" s="40">
        <f t="shared" ref="H5:H15" si="0">COUNTA(E5:G5)</f>
        <v>1</v>
      </c>
      <c r="I5" s="41">
        <v>240.97</v>
      </c>
      <c r="J5" s="41" t="s">
        <v>44</v>
      </c>
      <c r="K5" s="40" t="s">
        <v>45</v>
      </c>
      <c r="L5" s="41">
        <f t="shared" ref="L5:L15" si="1">I5/N5</f>
        <v>40.161666666666669</v>
      </c>
      <c r="M5" s="41">
        <f t="shared" ref="M5:M15" si="2">IFERROR(L5/H5,"")</f>
        <v>40.161666666666669</v>
      </c>
      <c r="N5" s="42">
        <v>6</v>
      </c>
      <c r="O5" s="67">
        <v>46237</v>
      </c>
      <c r="P5" s="67">
        <f t="shared" ref="P5" si="3">IF(N5&lt;&gt;1,EDATE(O5,N5-1),"")</f>
        <v>46390</v>
      </c>
      <c r="Q5" s="40" t="str">
        <f t="shared" ref="Q5" ca="1" si="4">IF(O5&lt;&gt;"",IFERROR(DATEDIF(O5,TODAY(),"m")+1,""),"")</f>
        <v/>
      </c>
    </row>
    <row r="6" spans="3:17" ht="16.5" customHeight="1" x14ac:dyDescent="0.25">
      <c r="C6" s="40"/>
      <c r="D6" s="39"/>
      <c r="E6" s="40"/>
      <c r="F6" s="40"/>
      <c r="G6" s="40"/>
      <c r="H6" s="40">
        <f t="shared" si="0"/>
        <v>0</v>
      </c>
      <c r="I6" s="41"/>
      <c r="J6" s="41"/>
      <c r="K6" s="40"/>
      <c r="L6" s="41">
        <f t="shared" si="1"/>
        <v>0</v>
      </c>
      <c r="M6" s="41" t="str">
        <f t="shared" si="2"/>
        <v/>
      </c>
      <c r="N6" s="42">
        <f t="shared" ref="N6:N15" si="5">(DATEDIF(O6,P6,"m")+1)</f>
        <v>1</v>
      </c>
      <c r="O6" s="38"/>
      <c r="P6" s="38"/>
      <c r="Q6" s="40" t="str">
        <f ca="1">IF(O6&lt;&gt;"",IFERROR(DATEDIF(O6,TODAY(),"m")+1,""),"")</f>
        <v/>
      </c>
    </row>
    <row r="7" spans="3:17" ht="16.5" customHeight="1" x14ac:dyDescent="0.25">
      <c r="C7" s="38"/>
      <c r="D7" s="39"/>
      <c r="E7" s="40"/>
      <c r="F7" s="40"/>
      <c r="G7" s="39"/>
      <c r="H7" s="40">
        <f t="shared" si="0"/>
        <v>0</v>
      </c>
      <c r="I7" s="41"/>
      <c r="J7" s="40"/>
      <c r="K7" s="40"/>
      <c r="L7" s="41">
        <f t="shared" si="1"/>
        <v>0</v>
      </c>
      <c r="M7" s="41" t="str">
        <f t="shared" si="2"/>
        <v/>
      </c>
      <c r="N7" s="42">
        <f t="shared" si="5"/>
        <v>1</v>
      </c>
      <c r="O7" s="38"/>
      <c r="P7" s="38"/>
      <c r="Q7" s="40"/>
    </row>
    <row r="8" spans="3:17" ht="16.5" customHeight="1" x14ac:dyDescent="0.25">
      <c r="C8" s="38"/>
      <c r="D8" s="39"/>
      <c r="E8" s="40"/>
      <c r="F8" s="40"/>
      <c r="G8" s="39"/>
      <c r="H8" s="40">
        <f t="shared" si="0"/>
        <v>0</v>
      </c>
      <c r="I8" s="41"/>
      <c r="J8" s="40"/>
      <c r="K8" s="40"/>
      <c r="L8" s="41">
        <f t="shared" si="1"/>
        <v>0</v>
      </c>
      <c r="M8" s="41" t="str">
        <f t="shared" si="2"/>
        <v/>
      </c>
      <c r="N8" s="42">
        <f t="shared" si="5"/>
        <v>1</v>
      </c>
      <c r="O8" s="38"/>
      <c r="P8" s="38"/>
      <c r="Q8" s="40"/>
    </row>
    <row r="9" spans="3:17" ht="16.5" customHeight="1" x14ac:dyDescent="0.25">
      <c r="C9" s="38"/>
      <c r="D9" s="39"/>
      <c r="E9" s="40"/>
      <c r="F9" s="40"/>
      <c r="G9" s="39"/>
      <c r="H9" s="40">
        <f t="shared" si="0"/>
        <v>0</v>
      </c>
      <c r="I9" s="41"/>
      <c r="J9" s="40"/>
      <c r="K9" s="40"/>
      <c r="L9" s="41">
        <f t="shared" si="1"/>
        <v>0</v>
      </c>
      <c r="M9" s="41" t="str">
        <f t="shared" si="2"/>
        <v/>
      </c>
      <c r="N9" s="42">
        <f t="shared" si="5"/>
        <v>1</v>
      </c>
      <c r="O9" s="38"/>
      <c r="P9" s="38"/>
      <c r="Q9" s="40"/>
    </row>
    <row r="10" spans="3:17" ht="16.5" customHeight="1" x14ac:dyDescent="0.25">
      <c r="C10" s="38"/>
      <c r="D10" s="39"/>
      <c r="E10" s="40"/>
      <c r="F10" s="40"/>
      <c r="G10" s="40"/>
      <c r="H10" s="40">
        <f t="shared" si="0"/>
        <v>0</v>
      </c>
      <c r="I10" s="41"/>
      <c r="J10" s="41"/>
      <c r="K10" s="40"/>
      <c r="L10" s="41">
        <f t="shared" si="1"/>
        <v>0</v>
      </c>
      <c r="M10" s="41" t="str">
        <f t="shared" si="2"/>
        <v/>
      </c>
      <c r="N10" s="42">
        <f t="shared" si="5"/>
        <v>1</v>
      </c>
      <c r="O10" s="38"/>
      <c r="P10" s="38"/>
      <c r="Q10" s="40" t="str">
        <f ca="1">IF(O10&lt;&gt;"",IFERROR(DATEDIF(O10,TODAY(),"m")+1,""),"")</f>
        <v/>
      </c>
    </row>
    <row r="11" spans="3:17" ht="16.5" customHeight="1" x14ac:dyDescent="0.25">
      <c r="C11" s="38"/>
      <c r="D11" s="39"/>
      <c r="E11" s="40"/>
      <c r="F11" s="40"/>
      <c r="G11" s="39"/>
      <c r="H11" s="40">
        <f t="shared" si="0"/>
        <v>0</v>
      </c>
      <c r="I11" s="41"/>
      <c r="J11" s="40"/>
      <c r="K11" s="40"/>
      <c r="L11" s="41">
        <f t="shared" si="1"/>
        <v>0</v>
      </c>
      <c r="M11" s="41" t="str">
        <f t="shared" si="2"/>
        <v/>
      </c>
      <c r="N11" s="42">
        <f t="shared" si="5"/>
        <v>1</v>
      </c>
      <c r="O11" s="38"/>
      <c r="P11" s="38"/>
      <c r="Q11" s="40"/>
    </row>
    <row r="12" spans="3:17" ht="16.5" customHeight="1" x14ac:dyDescent="0.25">
      <c r="C12" s="40"/>
      <c r="D12" s="39"/>
      <c r="E12" s="40"/>
      <c r="F12" s="40"/>
      <c r="G12" s="39"/>
      <c r="H12" s="40">
        <f t="shared" si="0"/>
        <v>0</v>
      </c>
      <c r="I12" s="41"/>
      <c r="J12" s="40"/>
      <c r="K12" s="40"/>
      <c r="L12" s="41">
        <f t="shared" si="1"/>
        <v>0</v>
      </c>
      <c r="M12" s="41" t="str">
        <f t="shared" si="2"/>
        <v/>
      </c>
      <c r="N12" s="42">
        <f t="shared" si="5"/>
        <v>1</v>
      </c>
      <c r="O12" s="38"/>
      <c r="P12" s="38"/>
      <c r="Q12" s="40"/>
    </row>
    <row r="13" spans="3:17" ht="16.5" customHeight="1" x14ac:dyDescent="0.25">
      <c r="C13" s="40"/>
      <c r="D13" s="39"/>
      <c r="E13" s="40"/>
      <c r="F13" s="40"/>
      <c r="G13" s="39"/>
      <c r="H13" s="40">
        <f t="shared" si="0"/>
        <v>0</v>
      </c>
      <c r="I13" s="41"/>
      <c r="J13" s="40"/>
      <c r="K13" s="40"/>
      <c r="L13" s="41">
        <f t="shared" si="1"/>
        <v>0</v>
      </c>
      <c r="M13" s="41" t="str">
        <f t="shared" si="2"/>
        <v/>
      </c>
      <c r="N13" s="42">
        <f t="shared" si="5"/>
        <v>1</v>
      </c>
      <c r="O13" s="38"/>
      <c r="P13" s="38"/>
      <c r="Q13" s="40"/>
    </row>
    <row r="14" spans="3:17" ht="16.5" customHeight="1" x14ac:dyDescent="0.25">
      <c r="C14" s="40"/>
      <c r="D14" s="39"/>
      <c r="E14" s="40"/>
      <c r="F14" s="40"/>
      <c r="G14" s="39"/>
      <c r="H14" s="40">
        <f t="shared" si="0"/>
        <v>0</v>
      </c>
      <c r="I14" s="41"/>
      <c r="J14" s="40"/>
      <c r="K14" s="40"/>
      <c r="L14" s="41">
        <f t="shared" si="1"/>
        <v>0</v>
      </c>
      <c r="M14" s="41" t="str">
        <f t="shared" si="2"/>
        <v/>
      </c>
      <c r="N14" s="42">
        <f t="shared" si="5"/>
        <v>1</v>
      </c>
      <c r="O14" s="38"/>
      <c r="P14" s="38"/>
      <c r="Q14" s="40"/>
    </row>
    <row r="15" spans="3:17" ht="16.5" customHeight="1" x14ac:dyDescent="0.25">
      <c r="C15" s="40"/>
      <c r="D15" s="39"/>
      <c r="E15" s="40"/>
      <c r="F15" s="40"/>
      <c r="G15" s="39"/>
      <c r="H15" s="40">
        <f t="shared" si="0"/>
        <v>0</v>
      </c>
      <c r="I15" s="41"/>
      <c r="J15" s="40"/>
      <c r="K15" s="40"/>
      <c r="L15" s="41">
        <f t="shared" si="1"/>
        <v>0</v>
      </c>
      <c r="M15" s="41" t="str">
        <f t="shared" si="2"/>
        <v/>
      </c>
      <c r="N15" s="42">
        <f t="shared" si="5"/>
        <v>1</v>
      </c>
      <c r="O15" s="38"/>
      <c r="P15" s="38"/>
      <c r="Q15" s="40"/>
    </row>
    <row r="16" spans="3:17" ht="16.5" customHeight="1" x14ac:dyDescent="0.25">
      <c r="C16" s="40"/>
      <c r="D16" s="39"/>
      <c r="E16" s="40"/>
      <c r="F16" s="40"/>
      <c r="G16" s="40"/>
      <c r="H16" s="40"/>
      <c r="I16" s="41"/>
      <c r="J16" s="41"/>
      <c r="K16" s="40"/>
      <c r="L16" s="41"/>
      <c r="M16" s="41"/>
      <c r="N16" s="42"/>
      <c r="O16" s="38"/>
      <c r="P16" s="38"/>
      <c r="Q16" s="40"/>
    </row>
    <row r="17" spans="3:17" ht="16.5" customHeight="1" x14ac:dyDescent="0.25">
      <c r="C17" s="38"/>
      <c r="D17" s="39"/>
      <c r="E17" s="40"/>
      <c r="F17" s="40"/>
      <c r="G17" s="40"/>
      <c r="H17" s="40"/>
      <c r="I17" s="41"/>
      <c r="J17" s="41"/>
      <c r="K17" s="40"/>
      <c r="L17" s="41"/>
      <c r="M17" s="41"/>
      <c r="N17" s="42"/>
      <c r="O17" s="38"/>
      <c r="P17" s="38"/>
      <c r="Q17" s="40"/>
    </row>
    <row r="18" spans="3:17" ht="16.5" customHeight="1" x14ac:dyDescent="0.25">
      <c r="C18" s="38"/>
      <c r="D18" s="39"/>
      <c r="E18" s="40"/>
      <c r="F18" s="40"/>
      <c r="G18" s="40"/>
      <c r="H18" s="40"/>
      <c r="I18" s="41"/>
      <c r="J18" s="41"/>
      <c r="K18" s="40"/>
      <c r="L18" s="41"/>
      <c r="M18" s="41"/>
      <c r="N18" s="42"/>
      <c r="O18" s="38"/>
      <c r="P18" s="38"/>
      <c r="Q18" s="40"/>
    </row>
    <row r="19" spans="3:17" ht="16.5" customHeight="1" x14ac:dyDescent="0.25">
      <c r="H19" s="2"/>
      <c r="I19" s="2"/>
      <c r="J19" s="2"/>
      <c r="K19" s="2"/>
      <c r="L19" s="1"/>
      <c r="M19" s="1"/>
      <c r="N19" s="43"/>
      <c r="O19" s="44"/>
      <c r="P19" s="44"/>
    </row>
    <row r="20" spans="3:17" x14ac:dyDescent="0.25">
      <c r="H20" s="2"/>
      <c r="O20" s="45"/>
      <c r="P20" s="45"/>
    </row>
    <row r="21" spans="3:17" x14ac:dyDescent="0.25">
      <c r="H21" s="2"/>
      <c r="O21" s="45"/>
      <c r="P21" s="45"/>
    </row>
    <row r="22" spans="3:17" x14ac:dyDescent="0.25">
      <c r="H22" s="2"/>
      <c r="O22" s="45"/>
      <c r="P22" s="45"/>
    </row>
    <row r="23" spans="3:17" x14ac:dyDescent="0.25">
      <c r="O23" s="45"/>
      <c r="P23" s="45"/>
    </row>
    <row r="24" spans="3:17" x14ac:dyDescent="0.25">
      <c r="O24" s="45"/>
      <c r="P24" s="45"/>
    </row>
    <row r="25" spans="3:17" x14ac:dyDescent="0.25">
      <c r="O25" s="45"/>
      <c r="P25" s="45"/>
    </row>
    <row r="26" spans="3:17" x14ac:dyDescent="0.25">
      <c r="O26" s="45"/>
      <c r="P26" s="45"/>
    </row>
    <row r="27" spans="3:17" x14ac:dyDescent="0.25">
      <c r="O27" s="45"/>
      <c r="P27" s="45"/>
    </row>
    <row r="28" spans="3:17" x14ac:dyDescent="0.25">
      <c r="O28" s="45"/>
      <c r="P28" s="45"/>
    </row>
    <row r="29" spans="3:17" x14ac:dyDescent="0.25">
      <c r="O29" s="45"/>
      <c r="P29" s="45"/>
    </row>
    <row r="30" spans="3:17" x14ac:dyDescent="0.25">
      <c r="O30" s="45"/>
      <c r="P30" s="45"/>
    </row>
    <row r="31" spans="3:17" x14ac:dyDescent="0.25">
      <c r="O31" s="45"/>
      <c r="P31" s="45"/>
    </row>
    <row r="32" spans="3:17" x14ac:dyDescent="0.25">
      <c r="O32" s="45"/>
      <c r="P32" s="45"/>
    </row>
    <row r="33" spans="15:16" x14ac:dyDescent="0.25">
      <c r="O33" s="45"/>
      <c r="P33" s="45"/>
    </row>
    <row r="34" spans="15:16" x14ac:dyDescent="0.25">
      <c r="O34" s="45"/>
      <c r="P34" s="45"/>
    </row>
    <row r="35" spans="15:16" x14ac:dyDescent="0.25">
      <c r="O35" s="45"/>
      <c r="P35" s="45"/>
    </row>
    <row r="36" spans="15:16" x14ac:dyDescent="0.25">
      <c r="O36" s="45"/>
      <c r="P36" s="45"/>
    </row>
    <row r="37" spans="15:16" x14ac:dyDescent="0.25">
      <c r="O37" s="45"/>
      <c r="P37" s="45"/>
    </row>
    <row r="38" spans="15:16" x14ac:dyDescent="0.25">
      <c r="O38" s="45"/>
      <c r="P38" s="45"/>
    </row>
    <row r="39" spans="15:16" x14ac:dyDescent="0.25">
      <c r="O39" s="45"/>
      <c r="P39" s="45"/>
    </row>
    <row r="40" spans="15:16" x14ac:dyDescent="0.25">
      <c r="O40" s="45"/>
      <c r="P40" s="45"/>
    </row>
    <row r="41" spans="15:16" x14ac:dyDescent="0.25">
      <c r="O41" s="45"/>
      <c r="P41" s="45"/>
    </row>
    <row r="42" spans="15:16" x14ac:dyDescent="0.25">
      <c r="O42" s="45"/>
      <c r="P42" s="45"/>
    </row>
    <row r="43" spans="15:16" x14ac:dyDescent="0.25">
      <c r="O43" s="45"/>
      <c r="P43" s="45"/>
    </row>
    <row r="44" spans="15:16" x14ac:dyDescent="0.25">
      <c r="O44" s="45"/>
      <c r="P44" s="45"/>
    </row>
    <row r="45" spans="15:16" x14ac:dyDescent="0.25">
      <c r="O45" s="45"/>
      <c r="P45" s="45"/>
    </row>
    <row r="46" spans="15:16" x14ac:dyDescent="0.25">
      <c r="O46" s="45"/>
      <c r="P46" s="45"/>
    </row>
    <row r="47" spans="15:16" x14ac:dyDescent="0.25">
      <c r="O47" s="45"/>
      <c r="P47" s="45"/>
    </row>
    <row r="48" spans="15:16" x14ac:dyDescent="0.25">
      <c r="O48" s="45"/>
      <c r="P48" s="45"/>
    </row>
    <row r="49" spans="15:16" x14ac:dyDescent="0.25">
      <c r="O49" s="45"/>
      <c r="P49" s="45"/>
    </row>
    <row r="50" spans="15:16" x14ac:dyDescent="0.25">
      <c r="O50" s="45"/>
      <c r="P50" s="45"/>
    </row>
    <row r="51" spans="15:16" x14ac:dyDescent="0.25">
      <c r="O51" s="45"/>
      <c r="P51" s="45"/>
    </row>
    <row r="52" spans="15:16" x14ac:dyDescent="0.25">
      <c r="O52" s="45"/>
      <c r="P52" s="45"/>
    </row>
    <row r="53" spans="15:16" x14ac:dyDescent="0.25">
      <c r="O53" s="45"/>
      <c r="P53" s="45"/>
    </row>
    <row r="54" spans="15:16" x14ac:dyDescent="0.25">
      <c r="O54" s="45"/>
      <c r="P54" s="45"/>
    </row>
    <row r="55" spans="15:16" x14ac:dyDescent="0.25">
      <c r="O55" s="45"/>
      <c r="P55" s="45"/>
    </row>
    <row r="56" spans="15:16" x14ac:dyDescent="0.25">
      <c r="O56" s="45"/>
      <c r="P56" s="45"/>
    </row>
    <row r="57" spans="15:16" x14ac:dyDescent="0.25">
      <c r="O57" s="45"/>
      <c r="P57" s="45"/>
    </row>
    <row r="58" spans="15:16" x14ac:dyDescent="0.25">
      <c r="O58" s="45"/>
      <c r="P58" s="45"/>
    </row>
    <row r="59" spans="15:16" x14ac:dyDescent="0.25">
      <c r="O59" s="45"/>
      <c r="P59" s="45"/>
    </row>
    <row r="60" spans="15:16" x14ac:dyDescent="0.25">
      <c r="O60" s="45"/>
      <c r="P60" s="45"/>
    </row>
    <row r="61" spans="15:16" x14ac:dyDescent="0.25">
      <c r="O61" s="45"/>
      <c r="P61" s="45"/>
    </row>
    <row r="62" spans="15:16" x14ac:dyDescent="0.25">
      <c r="O62" s="45"/>
      <c r="P62" s="45"/>
    </row>
    <row r="63" spans="15:16" x14ac:dyDescent="0.25">
      <c r="O63" s="45"/>
      <c r="P63" s="45"/>
    </row>
    <row r="64" spans="15:16" x14ac:dyDescent="0.25">
      <c r="O64" s="45"/>
      <c r="P64" s="45"/>
    </row>
    <row r="65" spans="15:16" x14ac:dyDescent="0.25">
      <c r="O65" s="45"/>
      <c r="P65" s="45"/>
    </row>
    <row r="66" spans="15:16" x14ac:dyDescent="0.25">
      <c r="O66" s="45"/>
      <c r="P66" s="45"/>
    </row>
    <row r="67" spans="15:16" x14ac:dyDescent="0.25">
      <c r="O67" s="45"/>
      <c r="P67" s="45"/>
    </row>
  </sheetData>
  <autoFilter ref="C4:Q4" xr:uid="{00000000-0009-0000-0000-000002000000}">
    <sortState xmlns:xlrd2="http://schemas.microsoft.com/office/spreadsheetml/2017/richdata2" ref="C4:Q5">
      <sortCondition descending="1" ref="C4:C5"/>
    </sortState>
  </autoFilter>
  <conditionalFormatting sqref="J5:K22">
    <cfRule type="cellIs" dxfId="13" priority="2" operator="equal">
      <formula>"Parcelado/Assinatura"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C1:Q150"/>
  <sheetViews>
    <sheetView showGridLines="0" zoomScale="80" zoomScaleNormal="80" workbookViewId="0">
      <selection activeCell="D78" sqref="D78"/>
    </sheetView>
  </sheetViews>
  <sheetFormatPr defaultColWidth="8.7109375" defaultRowHeight="15" x14ac:dyDescent="0.25"/>
  <cols>
    <col min="1" max="2" width="2" customWidth="1"/>
    <col min="3" max="3" width="29.7109375" style="2" customWidth="1"/>
    <col min="4" max="4" width="36.5703125" customWidth="1"/>
    <col min="5" max="7" width="20.5703125" style="2" customWidth="1"/>
    <col min="8" max="8" width="13.5703125" customWidth="1"/>
    <col min="9" max="9" width="13.5703125" style="46" customWidth="1"/>
    <col min="10" max="10" width="20.42578125" style="46" customWidth="1"/>
    <col min="11" max="11" width="17.7109375" customWidth="1"/>
    <col min="12" max="16" width="13.5703125" customWidth="1"/>
    <col min="17" max="17" width="21.85546875" style="2" customWidth="1"/>
    <col min="18" max="18" width="10.7109375" customWidth="1"/>
  </cols>
  <sheetData>
    <row r="1" spans="3:17" ht="18.75" customHeight="1" x14ac:dyDescent="0.25">
      <c r="D1" s="47" t="s">
        <v>46</v>
      </c>
      <c r="E1" s="33" t="s">
        <v>1</v>
      </c>
      <c r="F1" s="33" t="s">
        <v>2</v>
      </c>
      <c r="G1" s="33" t="s">
        <v>26</v>
      </c>
      <c r="L1" s="46"/>
      <c r="P1" s="2"/>
    </row>
    <row r="2" spans="3:17" ht="19.5" customHeight="1" x14ac:dyDescent="0.25">
      <c r="D2" s="48">
        <f>SUM(L6:L377)</f>
        <v>7121.4694285714277</v>
      </c>
      <c r="E2" s="35">
        <f>SUMIF($E$6:$E$377,E1,$M$6:$M$377)</f>
        <v>5182.8969285714293</v>
      </c>
      <c r="F2" s="35">
        <f>SUMIF($F$6:$F$377,F1,$M$6:$M$377)</f>
        <v>1888.5724999999998</v>
      </c>
      <c r="G2" s="35">
        <f>SUMIF($G$6:$G$377,G1,$M$6:$M$377)</f>
        <v>0</v>
      </c>
      <c r="L2" s="46"/>
      <c r="P2" s="2"/>
    </row>
    <row r="3" spans="3:17" x14ac:dyDescent="0.25">
      <c r="L3" s="46"/>
      <c r="P3" s="2"/>
    </row>
    <row r="4" spans="3:17" x14ac:dyDescent="0.25">
      <c r="M4" s="46"/>
    </row>
    <row r="5" spans="3:17" ht="32.25" customHeight="1" x14ac:dyDescent="0.25">
      <c r="C5" s="36"/>
      <c r="D5" s="36" t="s">
        <v>28</v>
      </c>
      <c r="E5" s="36" t="s">
        <v>29</v>
      </c>
      <c r="F5" s="36" t="s">
        <v>30</v>
      </c>
      <c r="G5" s="36" t="s">
        <v>31</v>
      </c>
      <c r="H5" s="37" t="s">
        <v>32</v>
      </c>
      <c r="I5" s="36" t="s">
        <v>33</v>
      </c>
      <c r="J5" s="36" t="s">
        <v>47</v>
      </c>
      <c r="K5" s="36" t="s">
        <v>35</v>
      </c>
      <c r="L5" s="37" t="s">
        <v>36</v>
      </c>
      <c r="M5" s="37" t="s">
        <v>37</v>
      </c>
      <c r="N5" s="37" t="s">
        <v>38</v>
      </c>
      <c r="O5" s="36" t="s">
        <v>39</v>
      </c>
      <c r="P5" s="36" t="s">
        <v>40</v>
      </c>
      <c r="Q5" s="37" t="s">
        <v>41</v>
      </c>
    </row>
    <row r="6" spans="3:17" x14ac:dyDescent="0.25">
      <c r="C6" s="38"/>
      <c r="D6" s="39" t="s">
        <v>48</v>
      </c>
      <c r="E6" s="40" t="s">
        <v>1</v>
      </c>
      <c r="F6" s="40"/>
      <c r="G6" s="40"/>
      <c r="H6" s="40">
        <f t="shared" ref="H6:H37" si="0">COUNTA(E6:G6)</f>
        <v>1</v>
      </c>
      <c r="I6" s="41">
        <v>258</v>
      </c>
      <c r="J6" s="41" t="s">
        <v>49</v>
      </c>
      <c r="K6" s="40" t="s">
        <v>50</v>
      </c>
      <c r="L6" s="41">
        <f t="shared" ref="L6:L37" si="1">I6/N6</f>
        <v>86</v>
      </c>
      <c r="M6" s="41">
        <f t="shared" ref="M6:M37" si="2">IFERROR(L6/H6,"")</f>
        <v>86</v>
      </c>
      <c r="N6" s="42">
        <v>3</v>
      </c>
      <c r="O6" s="67">
        <v>46056</v>
      </c>
      <c r="P6" s="67">
        <f t="shared" ref="P6:P37" si="3">IF(N6&lt;&gt;1,EDATE(O6,N6-1),"")</f>
        <v>46115</v>
      </c>
      <c r="Q6" s="40">
        <f t="shared" ref="Q6:Q17" ca="1" si="4">IF(O6&lt;&gt;"",IFERROR(DATEDIF(O6,TODAY(),"m")+1,""),"")</f>
        <v>6</v>
      </c>
    </row>
    <row r="7" spans="3:17" x14ac:dyDescent="0.25">
      <c r="C7" s="38"/>
      <c r="D7" s="49" t="s">
        <v>51</v>
      </c>
      <c r="E7" s="40" t="s">
        <v>1</v>
      </c>
      <c r="F7" s="40"/>
      <c r="G7" s="40"/>
      <c r="H7" s="40">
        <f t="shared" si="0"/>
        <v>1</v>
      </c>
      <c r="I7" s="41">
        <v>1909.3</v>
      </c>
      <c r="J7" s="41" t="s">
        <v>49</v>
      </c>
      <c r="K7" s="41" t="s">
        <v>52</v>
      </c>
      <c r="L7" s="41">
        <f t="shared" si="1"/>
        <v>190.93</v>
      </c>
      <c r="M7" s="41">
        <f t="shared" si="2"/>
        <v>190.93</v>
      </c>
      <c r="N7" s="42">
        <v>10</v>
      </c>
      <c r="O7" s="67">
        <v>46025</v>
      </c>
      <c r="P7" s="67">
        <f t="shared" si="3"/>
        <v>46298</v>
      </c>
      <c r="Q7" s="40">
        <f t="shared" ca="1" si="4"/>
        <v>7</v>
      </c>
    </row>
    <row r="8" spans="3:17" x14ac:dyDescent="0.25">
      <c r="C8" s="38"/>
      <c r="D8" s="39" t="s">
        <v>53</v>
      </c>
      <c r="E8" s="40" t="s">
        <v>1</v>
      </c>
      <c r="F8" s="40" t="s">
        <v>2</v>
      </c>
      <c r="G8" s="40"/>
      <c r="H8" s="40">
        <f t="shared" si="0"/>
        <v>2</v>
      </c>
      <c r="I8" s="41">
        <v>1017.6</v>
      </c>
      <c r="J8" s="41" t="s">
        <v>49</v>
      </c>
      <c r="K8" s="40" t="s">
        <v>54</v>
      </c>
      <c r="L8" s="41">
        <f t="shared" si="1"/>
        <v>84.8</v>
      </c>
      <c r="M8" s="41">
        <f t="shared" si="2"/>
        <v>42.4</v>
      </c>
      <c r="N8" s="42">
        <v>12</v>
      </c>
      <c r="O8" s="67">
        <v>46084</v>
      </c>
      <c r="P8" s="67">
        <f t="shared" si="3"/>
        <v>46421</v>
      </c>
      <c r="Q8" s="40">
        <f t="shared" ca="1" si="4"/>
        <v>5</v>
      </c>
    </row>
    <row r="9" spans="3:17" x14ac:dyDescent="0.25">
      <c r="C9" s="38"/>
      <c r="D9" s="49" t="s">
        <v>55</v>
      </c>
      <c r="E9" s="40" t="s">
        <v>1</v>
      </c>
      <c r="F9" s="40" t="s">
        <v>2</v>
      </c>
      <c r="G9" s="40"/>
      <c r="H9" s="40">
        <f t="shared" si="0"/>
        <v>2</v>
      </c>
      <c r="I9" s="41">
        <v>224.24</v>
      </c>
      <c r="J9" s="41" t="s">
        <v>49</v>
      </c>
      <c r="K9" s="41" t="s">
        <v>56</v>
      </c>
      <c r="L9" s="41">
        <f t="shared" si="1"/>
        <v>18.686666666666667</v>
      </c>
      <c r="M9" s="41">
        <f t="shared" si="2"/>
        <v>9.3433333333333337</v>
      </c>
      <c r="N9" s="42">
        <v>12</v>
      </c>
      <c r="O9" s="67">
        <v>46176</v>
      </c>
      <c r="P9" s="67">
        <f t="shared" si="3"/>
        <v>46510</v>
      </c>
      <c r="Q9" s="40">
        <f t="shared" ca="1" si="4"/>
        <v>2</v>
      </c>
    </row>
    <row r="10" spans="3:17" x14ac:dyDescent="0.25">
      <c r="C10" s="38"/>
      <c r="D10" s="39" t="s">
        <v>57</v>
      </c>
      <c r="E10" s="40" t="s">
        <v>1</v>
      </c>
      <c r="F10" s="40" t="s">
        <v>2</v>
      </c>
      <c r="G10" s="40"/>
      <c r="H10" s="40">
        <f t="shared" si="0"/>
        <v>2</v>
      </c>
      <c r="I10" s="41">
        <v>22.45</v>
      </c>
      <c r="J10" s="41" t="s">
        <v>49</v>
      </c>
      <c r="K10" s="40" t="s">
        <v>49</v>
      </c>
      <c r="L10" s="41">
        <f t="shared" si="1"/>
        <v>22.45</v>
      </c>
      <c r="M10" s="41">
        <f t="shared" si="2"/>
        <v>11.225</v>
      </c>
      <c r="N10" s="42">
        <v>1</v>
      </c>
      <c r="O10" s="67"/>
      <c r="P10" s="67" t="str">
        <f t="shared" si="3"/>
        <v/>
      </c>
      <c r="Q10" s="40" t="str">
        <f t="shared" ca="1" si="4"/>
        <v/>
      </c>
    </row>
    <row r="11" spans="3:17" x14ac:dyDescent="0.25">
      <c r="C11" s="38"/>
      <c r="D11" s="49" t="s">
        <v>58</v>
      </c>
      <c r="E11" s="40" t="s">
        <v>1</v>
      </c>
      <c r="F11" s="40" t="s">
        <v>2</v>
      </c>
      <c r="G11" s="40"/>
      <c r="H11" s="40">
        <f t="shared" si="0"/>
        <v>2</v>
      </c>
      <c r="I11" s="41">
        <v>60</v>
      </c>
      <c r="J11" s="41" t="s">
        <v>49</v>
      </c>
      <c r="K11" s="40" t="s">
        <v>50</v>
      </c>
      <c r="L11" s="41">
        <f t="shared" si="1"/>
        <v>60</v>
      </c>
      <c r="M11" s="41">
        <f t="shared" si="2"/>
        <v>30</v>
      </c>
      <c r="N11" s="42">
        <v>1</v>
      </c>
      <c r="O11" s="67"/>
      <c r="P11" s="67" t="str">
        <f t="shared" si="3"/>
        <v/>
      </c>
      <c r="Q11" s="40" t="str">
        <f t="shared" ca="1" si="4"/>
        <v/>
      </c>
    </row>
    <row r="12" spans="3:17" x14ac:dyDescent="0.25">
      <c r="C12" s="38"/>
      <c r="D12" s="39" t="s">
        <v>59</v>
      </c>
      <c r="E12" s="40" t="s">
        <v>1</v>
      </c>
      <c r="F12" s="40" t="s">
        <v>2</v>
      </c>
      <c r="G12" s="40"/>
      <c r="H12" s="40">
        <f t="shared" si="0"/>
        <v>2</v>
      </c>
      <c r="I12" s="41">
        <v>395.54</v>
      </c>
      <c r="J12" s="41" t="s">
        <v>49</v>
      </c>
      <c r="K12" s="40" t="s">
        <v>49</v>
      </c>
      <c r="L12" s="41">
        <f t="shared" si="1"/>
        <v>395.54</v>
      </c>
      <c r="M12" s="41">
        <f t="shared" si="2"/>
        <v>197.77</v>
      </c>
      <c r="N12" s="42">
        <v>1</v>
      </c>
      <c r="O12" s="67"/>
      <c r="P12" s="67" t="str">
        <f t="shared" si="3"/>
        <v/>
      </c>
      <c r="Q12" s="40" t="str">
        <f t="shared" ca="1" si="4"/>
        <v/>
      </c>
    </row>
    <row r="13" spans="3:17" x14ac:dyDescent="0.25">
      <c r="C13" s="38"/>
      <c r="D13" s="39" t="s">
        <v>60</v>
      </c>
      <c r="E13" s="40" t="s">
        <v>1</v>
      </c>
      <c r="F13" s="40" t="s">
        <v>2</v>
      </c>
      <c r="G13" s="40"/>
      <c r="H13" s="40">
        <f t="shared" si="0"/>
        <v>2</v>
      </c>
      <c r="I13" s="41">
        <v>215</v>
      </c>
      <c r="J13" s="41" t="s">
        <v>49</v>
      </c>
      <c r="K13" s="40" t="s">
        <v>49</v>
      </c>
      <c r="L13" s="41">
        <f t="shared" si="1"/>
        <v>215</v>
      </c>
      <c r="M13" s="41">
        <f t="shared" si="2"/>
        <v>107.5</v>
      </c>
      <c r="N13" s="42">
        <v>1</v>
      </c>
      <c r="O13" s="67"/>
      <c r="P13" s="67" t="str">
        <f t="shared" si="3"/>
        <v/>
      </c>
      <c r="Q13" s="40" t="str">
        <f t="shared" ca="1" si="4"/>
        <v/>
      </c>
    </row>
    <row r="14" spans="3:17" x14ac:dyDescent="0.25">
      <c r="C14" s="38"/>
      <c r="D14" s="49" t="s">
        <v>61</v>
      </c>
      <c r="E14" s="40" t="s">
        <v>1</v>
      </c>
      <c r="F14" s="40" t="s">
        <v>2</v>
      </c>
      <c r="G14" s="40"/>
      <c r="H14" s="40">
        <f t="shared" si="0"/>
        <v>2</v>
      </c>
      <c r="I14" s="41">
        <v>225</v>
      </c>
      <c r="J14" s="41" t="s">
        <v>49</v>
      </c>
      <c r="K14" s="40" t="s">
        <v>50</v>
      </c>
      <c r="L14" s="41">
        <f t="shared" si="1"/>
        <v>225</v>
      </c>
      <c r="M14" s="41">
        <f t="shared" si="2"/>
        <v>112.5</v>
      </c>
      <c r="N14" s="42">
        <v>1</v>
      </c>
      <c r="O14" s="67"/>
      <c r="P14" s="67" t="str">
        <f t="shared" si="3"/>
        <v/>
      </c>
      <c r="Q14" s="40" t="str">
        <f t="shared" ca="1" si="4"/>
        <v/>
      </c>
    </row>
    <row r="15" spans="3:17" x14ac:dyDescent="0.25">
      <c r="C15" s="38"/>
      <c r="D15" s="39" t="s">
        <v>62</v>
      </c>
      <c r="E15" s="40" t="s">
        <v>1</v>
      </c>
      <c r="F15" s="40" t="s">
        <v>2</v>
      </c>
      <c r="G15" s="40"/>
      <c r="H15" s="40">
        <f t="shared" si="0"/>
        <v>2</v>
      </c>
      <c r="I15" s="41">
        <v>166.15</v>
      </c>
      <c r="J15" s="41" t="s">
        <v>49</v>
      </c>
      <c r="K15" s="40" t="s">
        <v>49</v>
      </c>
      <c r="L15" s="41">
        <f t="shared" si="1"/>
        <v>166.15</v>
      </c>
      <c r="M15" s="41">
        <f t="shared" si="2"/>
        <v>83.075000000000003</v>
      </c>
      <c r="N15" s="42">
        <v>1</v>
      </c>
      <c r="O15" s="67"/>
      <c r="P15" s="67" t="str">
        <f t="shared" si="3"/>
        <v/>
      </c>
      <c r="Q15" s="40" t="str">
        <f t="shared" ca="1" si="4"/>
        <v/>
      </c>
    </row>
    <row r="16" spans="3:17" x14ac:dyDescent="0.25">
      <c r="C16" s="38"/>
      <c r="D16" s="49" t="s">
        <v>63</v>
      </c>
      <c r="E16" s="40" t="s">
        <v>1</v>
      </c>
      <c r="F16" s="40"/>
      <c r="G16" s="40"/>
      <c r="H16" s="40">
        <f t="shared" si="0"/>
        <v>1</v>
      </c>
      <c r="I16" s="41">
        <v>284.05</v>
      </c>
      <c r="J16" s="41" t="s">
        <v>49</v>
      </c>
      <c r="K16" s="41" t="s">
        <v>54</v>
      </c>
      <c r="L16" s="41">
        <f t="shared" si="1"/>
        <v>284.05</v>
      </c>
      <c r="M16" s="41">
        <f t="shared" si="2"/>
        <v>284.05</v>
      </c>
      <c r="N16" s="42">
        <v>1</v>
      </c>
      <c r="O16" s="67"/>
      <c r="P16" s="67" t="str">
        <f t="shared" si="3"/>
        <v/>
      </c>
      <c r="Q16" s="40" t="str">
        <f t="shared" ca="1" si="4"/>
        <v/>
      </c>
    </row>
    <row r="17" spans="3:17" x14ac:dyDescent="0.25">
      <c r="C17" s="38"/>
      <c r="D17" s="49" t="s">
        <v>64</v>
      </c>
      <c r="E17" s="40" t="s">
        <v>1</v>
      </c>
      <c r="F17" s="40"/>
      <c r="G17" s="40"/>
      <c r="H17" s="40">
        <f t="shared" si="0"/>
        <v>1</v>
      </c>
      <c r="I17" s="41">
        <v>110</v>
      </c>
      <c r="J17" s="41" t="s">
        <v>49</v>
      </c>
      <c r="K17" s="41" t="s">
        <v>56</v>
      </c>
      <c r="L17" s="41">
        <f t="shared" si="1"/>
        <v>110</v>
      </c>
      <c r="M17" s="41">
        <f t="shared" si="2"/>
        <v>110</v>
      </c>
      <c r="N17" s="42">
        <v>1</v>
      </c>
      <c r="O17" s="67"/>
      <c r="P17" s="67" t="str">
        <f t="shared" si="3"/>
        <v/>
      </c>
      <c r="Q17" s="40" t="str">
        <f t="shared" ca="1" si="4"/>
        <v/>
      </c>
    </row>
    <row r="18" spans="3:17" x14ac:dyDescent="0.25">
      <c r="C18" s="38"/>
      <c r="D18" s="49" t="s">
        <v>65</v>
      </c>
      <c r="E18" s="40" t="s">
        <v>1</v>
      </c>
      <c r="F18" s="40"/>
      <c r="G18" s="40"/>
      <c r="H18" s="40">
        <f t="shared" si="0"/>
        <v>1</v>
      </c>
      <c r="I18" s="41">
        <v>117</v>
      </c>
      <c r="J18" s="41" t="s">
        <v>49</v>
      </c>
      <c r="K18" s="41" t="s">
        <v>66</v>
      </c>
      <c r="L18" s="41">
        <f t="shared" si="1"/>
        <v>117</v>
      </c>
      <c r="M18" s="41">
        <f t="shared" si="2"/>
        <v>117</v>
      </c>
      <c r="N18" s="42">
        <v>1</v>
      </c>
      <c r="O18" s="67"/>
      <c r="P18" s="67" t="str">
        <f t="shared" si="3"/>
        <v/>
      </c>
      <c r="Q18" s="40"/>
    </row>
    <row r="19" spans="3:17" x14ac:dyDescent="0.25">
      <c r="C19" s="38"/>
      <c r="D19" s="39" t="s">
        <v>67</v>
      </c>
      <c r="E19" s="40" t="s">
        <v>1</v>
      </c>
      <c r="F19" s="40" t="s">
        <v>2</v>
      </c>
      <c r="G19" s="40"/>
      <c r="H19" s="40">
        <f t="shared" si="0"/>
        <v>2</v>
      </c>
      <c r="I19" s="41">
        <v>19.899999999999999</v>
      </c>
      <c r="J19" s="41" t="s">
        <v>49</v>
      </c>
      <c r="K19" s="40" t="s">
        <v>49</v>
      </c>
      <c r="L19" s="41">
        <f t="shared" si="1"/>
        <v>19.899999999999999</v>
      </c>
      <c r="M19" s="41">
        <f t="shared" si="2"/>
        <v>9.9499999999999993</v>
      </c>
      <c r="N19" s="42">
        <v>1</v>
      </c>
      <c r="O19" s="67"/>
      <c r="P19" s="67" t="str">
        <f t="shared" si="3"/>
        <v/>
      </c>
      <c r="Q19" s="40" t="str">
        <f ca="1">IF(O19&lt;&gt;"",IFERROR(DATEDIF(O19,TODAY(),"m")+1,""),"")</f>
        <v/>
      </c>
    </row>
    <row r="20" spans="3:17" x14ac:dyDescent="0.25">
      <c r="C20" s="38"/>
      <c r="D20" s="39" t="s">
        <v>68</v>
      </c>
      <c r="E20" s="40" t="s">
        <v>1</v>
      </c>
      <c r="F20" s="40"/>
      <c r="G20" s="40"/>
      <c r="H20" s="40">
        <f t="shared" si="0"/>
        <v>1</v>
      </c>
      <c r="I20" s="41">
        <v>26.9</v>
      </c>
      <c r="J20" s="41" t="s">
        <v>49</v>
      </c>
      <c r="K20" s="40" t="s">
        <v>49</v>
      </c>
      <c r="L20" s="41">
        <f t="shared" si="1"/>
        <v>26.9</v>
      </c>
      <c r="M20" s="41">
        <f t="shared" si="2"/>
        <v>26.9</v>
      </c>
      <c r="N20" s="42">
        <v>1</v>
      </c>
      <c r="O20" s="67"/>
      <c r="P20" s="67" t="str">
        <f t="shared" si="3"/>
        <v/>
      </c>
      <c r="Q20" s="40" t="str">
        <f ca="1">IF(O20&lt;&gt;"",IFERROR(DATEDIF(O20,TODAY(),"m")+1,""),"")</f>
        <v/>
      </c>
    </row>
    <row r="21" spans="3:17" x14ac:dyDescent="0.25">
      <c r="C21" s="38"/>
      <c r="D21" s="49" t="s">
        <v>69</v>
      </c>
      <c r="E21" s="40" t="s">
        <v>1</v>
      </c>
      <c r="F21" s="40"/>
      <c r="G21" s="40"/>
      <c r="H21" s="40">
        <f t="shared" si="0"/>
        <v>1</v>
      </c>
      <c r="I21" s="41">
        <v>70</v>
      </c>
      <c r="J21" s="41" t="s">
        <v>49</v>
      </c>
      <c r="K21" s="41" t="s">
        <v>49</v>
      </c>
      <c r="L21" s="41">
        <f t="shared" si="1"/>
        <v>70</v>
      </c>
      <c r="M21" s="41">
        <f t="shared" si="2"/>
        <v>70</v>
      </c>
      <c r="N21" s="42">
        <v>1</v>
      </c>
      <c r="O21" s="67"/>
      <c r="P21" s="67" t="str">
        <f t="shared" si="3"/>
        <v/>
      </c>
      <c r="Q21" s="40"/>
    </row>
    <row r="22" spans="3:17" x14ac:dyDescent="0.25">
      <c r="C22" s="38"/>
      <c r="D22" s="70" t="s">
        <v>70</v>
      </c>
      <c r="E22" s="40" t="s">
        <v>1</v>
      </c>
      <c r="F22" s="40"/>
      <c r="G22" s="40"/>
      <c r="H22" s="40">
        <f t="shared" si="0"/>
        <v>1</v>
      </c>
      <c r="I22" s="41">
        <v>400</v>
      </c>
      <c r="J22" s="41" t="s">
        <v>49</v>
      </c>
      <c r="K22" s="41" t="s">
        <v>54</v>
      </c>
      <c r="L22" s="41">
        <f t="shared" si="1"/>
        <v>400</v>
      </c>
      <c r="M22" s="41">
        <f t="shared" si="2"/>
        <v>400</v>
      </c>
      <c r="N22" s="42">
        <v>1</v>
      </c>
      <c r="O22" s="67"/>
      <c r="P22" s="67" t="str">
        <f t="shared" si="3"/>
        <v/>
      </c>
      <c r="Q22" s="40" t="str">
        <f ca="1">IF(O22&lt;&gt;"",IFERROR(DATEDIF(O22,TODAY(),"m")+1,""),"")</f>
        <v/>
      </c>
    </row>
    <row r="23" spans="3:17" x14ac:dyDescent="0.25">
      <c r="C23" s="38"/>
      <c r="D23" s="49" t="s">
        <v>71</v>
      </c>
      <c r="E23" s="40" t="s">
        <v>1</v>
      </c>
      <c r="F23" s="40" t="s">
        <v>2</v>
      </c>
      <c r="G23" s="40"/>
      <c r="H23" s="40">
        <f t="shared" si="0"/>
        <v>2</v>
      </c>
      <c r="I23" s="41">
        <v>22</v>
      </c>
      <c r="J23" s="41" t="s">
        <v>49</v>
      </c>
      <c r="K23" s="41" t="s">
        <v>54</v>
      </c>
      <c r="L23" s="41">
        <f t="shared" si="1"/>
        <v>22</v>
      </c>
      <c r="M23" s="41">
        <f t="shared" si="2"/>
        <v>11</v>
      </c>
      <c r="N23" s="42">
        <v>1</v>
      </c>
      <c r="O23" s="67">
        <v>46206</v>
      </c>
      <c r="P23" s="67" t="str">
        <f t="shared" si="3"/>
        <v/>
      </c>
      <c r="Q23" s="40">
        <f ca="1">IF(O23&lt;&gt;"",IFERROR(DATEDIF(O23,TODAY(),"m")+1,""),"")</f>
        <v>1</v>
      </c>
    </row>
    <row r="24" spans="3:17" x14ac:dyDescent="0.25">
      <c r="C24" s="38"/>
      <c r="D24" s="39" t="s">
        <v>72</v>
      </c>
      <c r="E24" s="40" t="s">
        <v>1</v>
      </c>
      <c r="F24" s="40" t="s">
        <v>2</v>
      </c>
      <c r="G24" s="40"/>
      <c r="H24" s="40">
        <f t="shared" si="0"/>
        <v>2</v>
      </c>
      <c r="I24" s="41">
        <v>392</v>
      </c>
      <c r="J24" s="41" t="s">
        <v>44</v>
      </c>
      <c r="K24" s="40" t="s">
        <v>54</v>
      </c>
      <c r="L24" s="41">
        <f t="shared" si="1"/>
        <v>196</v>
      </c>
      <c r="M24" s="41">
        <f t="shared" si="2"/>
        <v>98</v>
      </c>
      <c r="N24" s="42">
        <v>2</v>
      </c>
      <c r="O24" s="67">
        <v>46056</v>
      </c>
      <c r="P24" s="67">
        <f t="shared" si="3"/>
        <v>46084</v>
      </c>
      <c r="Q24" s="40">
        <f ca="1">IF(O24&lt;&gt;"",IFERROR(DATEDIF(O24,TODAY(),"m")+1,""),"")</f>
        <v>6</v>
      </c>
    </row>
    <row r="25" spans="3:17" x14ac:dyDescent="0.25">
      <c r="C25" s="38"/>
      <c r="D25" s="69" t="s">
        <v>73</v>
      </c>
      <c r="E25" s="40" t="s">
        <v>1</v>
      </c>
      <c r="F25" s="40" t="s">
        <v>2</v>
      </c>
      <c r="G25" s="40"/>
      <c r="H25" s="40">
        <f t="shared" si="0"/>
        <v>2</v>
      </c>
      <c r="I25" s="41">
        <v>3219</v>
      </c>
      <c r="J25" s="41" t="s">
        <v>44</v>
      </c>
      <c r="K25" s="41" t="s">
        <v>74</v>
      </c>
      <c r="L25" s="41">
        <f t="shared" si="1"/>
        <v>268.25</v>
      </c>
      <c r="M25" s="41">
        <f t="shared" si="2"/>
        <v>134.125</v>
      </c>
      <c r="N25" s="42">
        <v>12</v>
      </c>
      <c r="O25" s="67">
        <v>45903</v>
      </c>
      <c r="P25" s="67">
        <f t="shared" si="3"/>
        <v>46237</v>
      </c>
      <c r="Q25" s="40">
        <f ca="1">IF(O25&lt;&gt;"",IFERROR(DATEDIF(O25,TODAY(),"m")+1,""),"")</f>
        <v>11</v>
      </c>
    </row>
    <row r="26" spans="3:17" x14ac:dyDescent="0.25">
      <c r="C26" s="38"/>
      <c r="D26" s="69" t="s">
        <v>75</v>
      </c>
      <c r="E26" s="40" t="s">
        <v>1</v>
      </c>
      <c r="F26" s="40"/>
      <c r="G26" s="40"/>
      <c r="H26" s="40">
        <f t="shared" si="0"/>
        <v>1</v>
      </c>
      <c r="I26" s="41">
        <v>1700</v>
      </c>
      <c r="J26" s="41" t="s">
        <v>44</v>
      </c>
      <c r="K26" s="41" t="s">
        <v>52</v>
      </c>
      <c r="L26" s="41">
        <f t="shared" si="1"/>
        <v>283.33333333333331</v>
      </c>
      <c r="M26" s="41">
        <f t="shared" si="2"/>
        <v>283.33333333333331</v>
      </c>
      <c r="N26" s="42">
        <v>6</v>
      </c>
      <c r="O26" s="67">
        <v>46084</v>
      </c>
      <c r="P26" s="67">
        <f t="shared" si="3"/>
        <v>46237</v>
      </c>
      <c r="Q26" s="40">
        <f ca="1">IF(O26&lt;&gt;"",IFERROR(DATEDIF(O26,TODAY(),"m")+1,""),"")</f>
        <v>5</v>
      </c>
    </row>
    <row r="27" spans="3:17" x14ac:dyDescent="0.25">
      <c r="C27" s="38"/>
      <c r="D27" s="69" t="s">
        <v>76</v>
      </c>
      <c r="E27" s="40" t="s">
        <v>1</v>
      </c>
      <c r="F27" s="40"/>
      <c r="G27" s="40"/>
      <c r="H27" s="40">
        <f t="shared" si="0"/>
        <v>1</v>
      </c>
      <c r="I27" s="41">
        <v>208</v>
      </c>
      <c r="J27" s="41" t="s">
        <v>44</v>
      </c>
      <c r="K27" s="41" t="s">
        <v>74</v>
      </c>
      <c r="L27" s="41">
        <f t="shared" si="1"/>
        <v>52</v>
      </c>
      <c r="M27" s="41">
        <f t="shared" si="2"/>
        <v>52</v>
      </c>
      <c r="N27" s="42">
        <v>4</v>
      </c>
      <c r="O27" s="67">
        <v>46145</v>
      </c>
      <c r="P27" s="67">
        <f t="shared" si="3"/>
        <v>46237</v>
      </c>
      <c r="Q27" s="40"/>
    </row>
    <row r="28" spans="3:17" x14ac:dyDescent="0.25">
      <c r="C28" s="38"/>
      <c r="D28" s="69" t="s">
        <v>77</v>
      </c>
      <c r="E28" s="40" t="s">
        <v>1</v>
      </c>
      <c r="F28" s="40"/>
      <c r="G28" s="40"/>
      <c r="H28" s="40">
        <f t="shared" si="0"/>
        <v>1</v>
      </c>
      <c r="I28" s="41">
        <v>128.99</v>
      </c>
      <c r="J28" s="41" t="s">
        <v>44</v>
      </c>
      <c r="K28" s="41" t="s">
        <v>74</v>
      </c>
      <c r="L28" s="41">
        <f t="shared" si="1"/>
        <v>42.99666666666667</v>
      </c>
      <c r="M28" s="41">
        <f t="shared" si="2"/>
        <v>42.99666666666667</v>
      </c>
      <c r="N28" s="42">
        <v>3</v>
      </c>
      <c r="O28" s="67">
        <v>46176</v>
      </c>
      <c r="P28" s="67">
        <f t="shared" si="3"/>
        <v>46237</v>
      </c>
      <c r="Q28" s="40">
        <f ca="1">IF(O28&lt;&gt;"",IFERROR(DATEDIF(O28,TODAY(),"m")+1,""),"")</f>
        <v>2</v>
      </c>
    </row>
    <row r="29" spans="3:17" x14ac:dyDescent="0.25">
      <c r="C29" s="38"/>
      <c r="D29" s="68" t="s">
        <v>78</v>
      </c>
      <c r="E29" s="40" t="s">
        <v>1</v>
      </c>
      <c r="F29" s="40"/>
      <c r="G29" s="40"/>
      <c r="H29" s="40">
        <f t="shared" si="0"/>
        <v>1</v>
      </c>
      <c r="I29" s="41">
        <v>419</v>
      </c>
      <c r="J29" s="41" t="s">
        <v>44</v>
      </c>
      <c r="K29" s="41" t="s">
        <v>74</v>
      </c>
      <c r="L29" s="41">
        <f t="shared" si="1"/>
        <v>41.9</v>
      </c>
      <c r="M29" s="41">
        <f t="shared" si="2"/>
        <v>41.9</v>
      </c>
      <c r="N29" s="42">
        <v>10</v>
      </c>
      <c r="O29" s="67">
        <v>45994</v>
      </c>
      <c r="P29" s="67">
        <f t="shared" si="3"/>
        <v>46268</v>
      </c>
      <c r="Q29" s="40">
        <f ca="1">IF(O29&lt;&gt;"",IFERROR(DATEDIF(O29,TODAY(),"m")+1,""),"")</f>
        <v>8</v>
      </c>
    </row>
    <row r="30" spans="3:17" x14ac:dyDescent="0.25">
      <c r="C30" s="38"/>
      <c r="D30" s="68" t="s">
        <v>79</v>
      </c>
      <c r="E30" s="40" t="s">
        <v>1</v>
      </c>
      <c r="F30" s="40"/>
      <c r="G30" s="40"/>
      <c r="H30" s="40">
        <f t="shared" si="0"/>
        <v>1</v>
      </c>
      <c r="I30" s="41">
        <v>419</v>
      </c>
      <c r="J30" s="41" t="s">
        <v>44</v>
      </c>
      <c r="K30" s="41" t="s">
        <v>74</v>
      </c>
      <c r="L30" s="41">
        <f t="shared" si="1"/>
        <v>41.9</v>
      </c>
      <c r="M30" s="41">
        <f t="shared" si="2"/>
        <v>41.9</v>
      </c>
      <c r="N30" s="42">
        <v>10</v>
      </c>
      <c r="O30" s="67">
        <v>45994</v>
      </c>
      <c r="P30" s="67">
        <f t="shared" si="3"/>
        <v>46268</v>
      </c>
      <c r="Q30" s="40">
        <f ca="1">IF(O30&lt;&gt;"",IFERROR(DATEDIF(O30,TODAY(),"m")+1,""),"")</f>
        <v>8</v>
      </c>
    </row>
    <row r="31" spans="3:17" x14ac:dyDescent="0.25">
      <c r="C31" s="38"/>
      <c r="D31" s="68" t="s">
        <v>80</v>
      </c>
      <c r="E31" s="40" t="s">
        <v>1</v>
      </c>
      <c r="F31" s="40"/>
      <c r="G31" s="40"/>
      <c r="H31" s="40">
        <f t="shared" si="0"/>
        <v>1</v>
      </c>
      <c r="I31" s="41">
        <v>440</v>
      </c>
      <c r="J31" s="41" t="s">
        <v>44</v>
      </c>
      <c r="K31" s="41" t="s">
        <v>74</v>
      </c>
      <c r="L31" s="41">
        <f t="shared" si="1"/>
        <v>88</v>
      </c>
      <c r="M31" s="41">
        <f t="shared" si="2"/>
        <v>88</v>
      </c>
      <c r="N31" s="42">
        <v>5</v>
      </c>
      <c r="O31" s="67">
        <v>46145</v>
      </c>
      <c r="P31" s="67">
        <f t="shared" si="3"/>
        <v>46268</v>
      </c>
      <c r="Q31" s="40"/>
    </row>
    <row r="32" spans="3:17" x14ac:dyDescent="0.25">
      <c r="C32" s="38"/>
      <c r="D32" s="68" t="s">
        <v>81</v>
      </c>
      <c r="E32" s="40" t="s">
        <v>1</v>
      </c>
      <c r="F32" s="40"/>
      <c r="G32" s="40"/>
      <c r="H32" s="40">
        <f t="shared" si="0"/>
        <v>1</v>
      </c>
      <c r="I32" s="41">
        <v>313.83999999999997</v>
      </c>
      <c r="J32" s="41" t="s">
        <v>44</v>
      </c>
      <c r="K32" s="41" t="s">
        <v>74</v>
      </c>
      <c r="L32" s="41">
        <f t="shared" si="1"/>
        <v>78.459999999999994</v>
      </c>
      <c r="M32" s="41">
        <f t="shared" si="2"/>
        <v>78.459999999999994</v>
      </c>
      <c r="N32" s="42">
        <v>4</v>
      </c>
      <c r="O32" s="67">
        <v>46176</v>
      </c>
      <c r="P32" s="67">
        <f t="shared" si="3"/>
        <v>46268</v>
      </c>
      <c r="Q32" s="40">
        <f t="shared" ref="Q32:Q41" ca="1" si="5">IF(O32&lt;&gt;"",IFERROR(DATEDIF(O32,TODAY(),"m")+1,""),"")</f>
        <v>2</v>
      </c>
    </row>
    <row r="33" spans="3:17" x14ac:dyDescent="0.25">
      <c r="C33" s="38"/>
      <c r="D33" s="68" t="s">
        <v>82</v>
      </c>
      <c r="E33" s="40"/>
      <c r="F33" s="40" t="s">
        <v>2</v>
      </c>
      <c r="G33" s="40"/>
      <c r="H33" s="40">
        <f t="shared" si="0"/>
        <v>1</v>
      </c>
      <c r="I33" s="41">
        <v>244.51</v>
      </c>
      <c r="J33" s="41" t="s">
        <v>44</v>
      </c>
      <c r="K33" s="41" t="s">
        <v>83</v>
      </c>
      <c r="L33" s="41">
        <f t="shared" si="1"/>
        <v>61.127499999999998</v>
      </c>
      <c r="M33" s="41">
        <f t="shared" si="2"/>
        <v>61.127499999999998</v>
      </c>
      <c r="N33" s="42">
        <v>4</v>
      </c>
      <c r="O33" s="67">
        <v>46176</v>
      </c>
      <c r="P33" s="67">
        <f t="shared" si="3"/>
        <v>46268</v>
      </c>
      <c r="Q33" s="40">
        <f t="shared" ca="1" si="5"/>
        <v>2</v>
      </c>
    </row>
    <row r="34" spans="3:17" x14ac:dyDescent="0.25">
      <c r="C34" s="38"/>
      <c r="D34" s="68" t="s">
        <v>84</v>
      </c>
      <c r="E34" s="40" t="s">
        <v>1</v>
      </c>
      <c r="F34" s="40"/>
      <c r="G34" s="40"/>
      <c r="H34" s="40">
        <f t="shared" si="0"/>
        <v>1</v>
      </c>
      <c r="I34" s="41">
        <v>628</v>
      </c>
      <c r="J34" s="41" t="s">
        <v>44</v>
      </c>
      <c r="K34" s="41" t="s">
        <v>85</v>
      </c>
      <c r="L34" s="41">
        <f t="shared" si="1"/>
        <v>157</v>
      </c>
      <c r="M34" s="41">
        <f t="shared" si="2"/>
        <v>157</v>
      </c>
      <c r="N34" s="42">
        <v>4</v>
      </c>
      <c r="O34" s="67">
        <v>46187</v>
      </c>
      <c r="P34" s="67">
        <f t="shared" si="3"/>
        <v>46279</v>
      </c>
      <c r="Q34" s="40">
        <f t="shared" ca="1" si="5"/>
        <v>2</v>
      </c>
    </row>
    <row r="35" spans="3:17" x14ac:dyDescent="0.25">
      <c r="C35" s="38"/>
      <c r="D35" s="72" t="s">
        <v>86</v>
      </c>
      <c r="E35" s="40" t="s">
        <v>1</v>
      </c>
      <c r="F35" s="40"/>
      <c r="G35" s="40"/>
      <c r="H35" s="40">
        <f t="shared" si="0"/>
        <v>1</v>
      </c>
      <c r="I35" s="41">
        <v>659</v>
      </c>
      <c r="J35" s="41" t="s">
        <v>44</v>
      </c>
      <c r="K35" s="41" t="s">
        <v>74</v>
      </c>
      <c r="L35" s="41">
        <f t="shared" si="1"/>
        <v>54.916666666666664</v>
      </c>
      <c r="M35" s="41">
        <f t="shared" si="2"/>
        <v>54.916666666666664</v>
      </c>
      <c r="N35" s="42">
        <v>12</v>
      </c>
      <c r="O35" s="67">
        <v>45964</v>
      </c>
      <c r="P35" s="67">
        <f t="shared" si="3"/>
        <v>46298</v>
      </c>
      <c r="Q35" s="40">
        <f t="shared" ca="1" si="5"/>
        <v>9</v>
      </c>
    </row>
    <row r="36" spans="3:17" x14ac:dyDescent="0.25">
      <c r="C36" s="38"/>
      <c r="D36" s="72" t="s">
        <v>87</v>
      </c>
      <c r="E36" s="40" t="s">
        <v>1</v>
      </c>
      <c r="F36" s="40"/>
      <c r="G36" s="40"/>
      <c r="H36" s="40">
        <f t="shared" si="0"/>
        <v>1</v>
      </c>
      <c r="I36" s="41">
        <v>2319.3000000000002</v>
      </c>
      <c r="J36" s="41" t="s">
        <v>44</v>
      </c>
      <c r="K36" s="41" t="s">
        <v>74</v>
      </c>
      <c r="L36" s="41">
        <f t="shared" si="1"/>
        <v>193.27500000000001</v>
      </c>
      <c r="M36" s="41">
        <f t="shared" si="2"/>
        <v>193.27500000000001</v>
      </c>
      <c r="N36" s="42">
        <v>12</v>
      </c>
      <c r="O36" s="67">
        <v>45964</v>
      </c>
      <c r="P36" s="67">
        <f t="shared" si="3"/>
        <v>46298</v>
      </c>
      <c r="Q36" s="40">
        <f t="shared" ca="1" si="5"/>
        <v>9</v>
      </c>
    </row>
    <row r="37" spans="3:17" x14ac:dyDescent="0.25">
      <c r="C37" s="38"/>
      <c r="D37" s="72" t="s">
        <v>88</v>
      </c>
      <c r="E37" s="40" t="s">
        <v>1</v>
      </c>
      <c r="F37" s="40"/>
      <c r="G37" s="40"/>
      <c r="H37" s="40">
        <f t="shared" si="0"/>
        <v>1</v>
      </c>
      <c r="I37" s="41">
        <v>2000</v>
      </c>
      <c r="J37" s="41" t="s">
        <v>44</v>
      </c>
      <c r="K37" s="41" t="s">
        <v>89</v>
      </c>
      <c r="L37" s="41">
        <f t="shared" si="1"/>
        <v>166.66666666666666</v>
      </c>
      <c r="M37" s="41">
        <f t="shared" si="2"/>
        <v>166.66666666666666</v>
      </c>
      <c r="N37" s="42">
        <v>12</v>
      </c>
      <c r="O37" s="67">
        <v>45964</v>
      </c>
      <c r="P37" s="67">
        <f t="shared" si="3"/>
        <v>46298</v>
      </c>
      <c r="Q37" s="40">
        <f t="shared" ca="1" si="5"/>
        <v>9</v>
      </c>
    </row>
    <row r="38" spans="3:17" x14ac:dyDescent="0.25">
      <c r="C38" s="38"/>
      <c r="D38" s="72" t="s">
        <v>90</v>
      </c>
      <c r="E38" s="40" t="s">
        <v>1</v>
      </c>
      <c r="F38" s="40" t="s">
        <v>2</v>
      </c>
      <c r="G38" s="40"/>
      <c r="H38" s="40">
        <f t="shared" ref="H38:H68" si="6">COUNTA(E38:G38)</f>
        <v>2</v>
      </c>
      <c r="I38" s="41">
        <v>725</v>
      </c>
      <c r="J38" s="41" t="s">
        <v>44</v>
      </c>
      <c r="K38" s="41" t="s">
        <v>74</v>
      </c>
      <c r="L38" s="41">
        <f t="shared" ref="L38:L68" si="7">I38/N38</f>
        <v>120.83333333333333</v>
      </c>
      <c r="M38" s="41">
        <f t="shared" ref="M38:M68" si="8">IFERROR(L38/H38,"")</f>
        <v>60.416666666666664</v>
      </c>
      <c r="N38" s="42">
        <v>6</v>
      </c>
      <c r="O38" s="67">
        <v>46145</v>
      </c>
      <c r="P38" s="67">
        <f t="shared" ref="P38:P68" si="9">IF(N38&lt;&gt;1,EDATE(O38,N38-1),"")</f>
        <v>46298</v>
      </c>
      <c r="Q38" s="40">
        <f t="shared" ca="1" si="5"/>
        <v>3</v>
      </c>
    </row>
    <row r="39" spans="3:17" x14ac:dyDescent="0.25">
      <c r="C39" s="38"/>
      <c r="D39" s="49" t="s">
        <v>91</v>
      </c>
      <c r="E39" s="40"/>
      <c r="F39" s="40" t="s">
        <v>2</v>
      </c>
      <c r="G39" s="40"/>
      <c r="H39" s="40">
        <f t="shared" si="6"/>
        <v>1</v>
      </c>
      <c r="I39" s="41">
        <v>973.02</v>
      </c>
      <c r="J39" s="41" t="s">
        <v>44</v>
      </c>
      <c r="K39" s="41" t="s">
        <v>89</v>
      </c>
      <c r="L39" s="41">
        <f t="shared" si="7"/>
        <v>81.084999999999994</v>
      </c>
      <c r="M39" s="41">
        <f t="shared" si="8"/>
        <v>81.084999999999994</v>
      </c>
      <c r="N39" s="42">
        <v>12</v>
      </c>
      <c r="O39" s="67">
        <v>45994</v>
      </c>
      <c r="P39" s="67">
        <f t="shared" si="9"/>
        <v>46329</v>
      </c>
      <c r="Q39" s="40">
        <f t="shared" ca="1" si="5"/>
        <v>8</v>
      </c>
    </row>
    <row r="40" spans="3:17" x14ac:dyDescent="0.25">
      <c r="C40" s="38"/>
      <c r="D40" s="49" t="s">
        <v>92</v>
      </c>
      <c r="E40" s="40" t="s">
        <v>1</v>
      </c>
      <c r="F40" s="40"/>
      <c r="G40" s="40"/>
      <c r="H40" s="40">
        <f t="shared" si="6"/>
        <v>1</v>
      </c>
      <c r="I40" s="41">
        <v>379</v>
      </c>
      <c r="J40" s="41" t="s">
        <v>44</v>
      </c>
      <c r="K40" s="41" t="s">
        <v>74</v>
      </c>
      <c r="L40" s="41">
        <f t="shared" si="7"/>
        <v>54.142857142857146</v>
      </c>
      <c r="M40" s="41">
        <f t="shared" si="8"/>
        <v>54.142857142857146</v>
      </c>
      <c r="N40" s="42">
        <v>7</v>
      </c>
      <c r="O40" s="67">
        <v>46145</v>
      </c>
      <c r="P40" s="67">
        <f t="shared" si="9"/>
        <v>46329</v>
      </c>
      <c r="Q40" s="40">
        <f t="shared" ca="1" si="5"/>
        <v>3</v>
      </c>
    </row>
    <row r="41" spans="3:17" x14ac:dyDescent="0.25">
      <c r="C41" s="38"/>
      <c r="D41" s="49" t="s">
        <v>93</v>
      </c>
      <c r="E41" s="40" t="s">
        <v>1</v>
      </c>
      <c r="F41" s="40"/>
      <c r="G41" s="40"/>
      <c r="H41" s="40">
        <f t="shared" si="6"/>
        <v>1</v>
      </c>
      <c r="I41" s="41">
        <v>297</v>
      </c>
      <c r="J41" s="41" t="s">
        <v>44</v>
      </c>
      <c r="K41" s="41" t="s">
        <v>74</v>
      </c>
      <c r="L41" s="41">
        <f t="shared" si="7"/>
        <v>49.5</v>
      </c>
      <c r="M41" s="41">
        <f t="shared" si="8"/>
        <v>49.5</v>
      </c>
      <c r="N41" s="42">
        <v>6</v>
      </c>
      <c r="O41" s="67">
        <v>46176</v>
      </c>
      <c r="P41" s="67">
        <f t="shared" si="9"/>
        <v>46329</v>
      </c>
      <c r="Q41" s="40">
        <f t="shared" ca="1" si="5"/>
        <v>2</v>
      </c>
    </row>
    <row r="42" spans="3:17" x14ac:dyDescent="0.25">
      <c r="C42" s="38"/>
      <c r="D42" s="49" t="s">
        <v>94</v>
      </c>
      <c r="E42" s="40" t="s">
        <v>1</v>
      </c>
      <c r="F42" s="40" t="s">
        <v>2</v>
      </c>
      <c r="G42" s="40"/>
      <c r="H42" s="40">
        <f t="shared" si="6"/>
        <v>2</v>
      </c>
      <c r="I42" s="41">
        <v>506</v>
      </c>
      <c r="J42" s="41" t="s">
        <v>44</v>
      </c>
      <c r="K42" s="41" t="s">
        <v>74</v>
      </c>
      <c r="L42" s="41">
        <f t="shared" si="7"/>
        <v>50.6</v>
      </c>
      <c r="M42" s="41">
        <f t="shared" si="8"/>
        <v>25.3</v>
      </c>
      <c r="N42" s="42">
        <v>10</v>
      </c>
      <c r="O42" s="67">
        <v>46115</v>
      </c>
      <c r="P42" s="67">
        <f t="shared" si="9"/>
        <v>46390</v>
      </c>
      <c r="Q42" s="40"/>
    </row>
    <row r="43" spans="3:17" x14ac:dyDescent="0.25">
      <c r="C43" s="38"/>
      <c r="D43" s="49" t="s">
        <v>95</v>
      </c>
      <c r="E43" s="40" t="s">
        <v>1</v>
      </c>
      <c r="F43" s="40"/>
      <c r="G43" s="40"/>
      <c r="H43" s="40">
        <f t="shared" si="6"/>
        <v>1</v>
      </c>
      <c r="I43" s="41">
        <v>1900</v>
      </c>
      <c r="J43" s="41" t="s">
        <v>44</v>
      </c>
      <c r="K43" s="41" t="s">
        <v>74</v>
      </c>
      <c r="L43" s="41">
        <f t="shared" si="7"/>
        <v>190</v>
      </c>
      <c r="M43" s="41">
        <f t="shared" si="8"/>
        <v>190</v>
      </c>
      <c r="N43" s="42">
        <v>10</v>
      </c>
      <c r="O43" s="67">
        <v>46145</v>
      </c>
      <c r="P43" s="67">
        <f t="shared" si="9"/>
        <v>46421</v>
      </c>
      <c r="Q43" s="40">
        <f t="shared" ref="Q43:Q73" ca="1" si="10">IF(O43&lt;&gt;"",IFERROR(DATEDIF(O43,TODAY(),"m")+1,""),"")</f>
        <v>3</v>
      </c>
    </row>
    <row r="44" spans="3:17" x14ac:dyDescent="0.25">
      <c r="C44" s="38"/>
      <c r="D44" s="49" t="s">
        <v>96</v>
      </c>
      <c r="E44" s="40" t="s">
        <v>1</v>
      </c>
      <c r="F44" s="40"/>
      <c r="G44" s="40"/>
      <c r="H44" s="40">
        <f t="shared" si="6"/>
        <v>1</v>
      </c>
      <c r="I44" s="41">
        <v>474.33</v>
      </c>
      <c r="J44" s="41" t="s">
        <v>44</v>
      </c>
      <c r="K44" s="41" t="s">
        <v>74</v>
      </c>
      <c r="L44" s="41">
        <f t="shared" si="7"/>
        <v>52.703333333333333</v>
      </c>
      <c r="M44" s="41">
        <f t="shared" si="8"/>
        <v>52.703333333333333</v>
      </c>
      <c r="N44" s="42">
        <v>9</v>
      </c>
      <c r="O44" s="67">
        <v>46176</v>
      </c>
      <c r="P44" s="67">
        <f t="shared" si="9"/>
        <v>46421</v>
      </c>
      <c r="Q44" s="40">
        <f t="shared" ca="1" si="10"/>
        <v>2</v>
      </c>
    </row>
    <row r="45" spans="3:17" x14ac:dyDescent="0.25">
      <c r="C45" s="38"/>
      <c r="D45" s="49" t="s">
        <v>97</v>
      </c>
      <c r="E45" s="40" t="s">
        <v>1</v>
      </c>
      <c r="F45" s="40"/>
      <c r="G45" s="40"/>
      <c r="H45" s="40">
        <f t="shared" si="6"/>
        <v>1</v>
      </c>
      <c r="I45" s="41">
        <v>-42.08</v>
      </c>
      <c r="J45" s="41" t="s">
        <v>44</v>
      </c>
      <c r="K45" s="41" t="s">
        <v>98</v>
      </c>
      <c r="L45" s="41">
        <f t="shared" si="7"/>
        <v>-42.08</v>
      </c>
      <c r="M45" s="41">
        <f t="shared" si="8"/>
        <v>-42.08</v>
      </c>
      <c r="N45" s="42">
        <v>1</v>
      </c>
      <c r="O45" s="67"/>
      <c r="P45" s="67" t="str">
        <f t="shared" si="9"/>
        <v/>
      </c>
      <c r="Q45" s="40" t="str">
        <f t="shared" ca="1" si="10"/>
        <v/>
      </c>
    </row>
    <row r="46" spans="3:17" x14ac:dyDescent="0.25">
      <c r="C46" s="38"/>
      <c r="D46" s="49" t="s">
        <v>99</v>
      </c>
      <c r="E46" s="40" t="s">
        <v>1</v>
      </c>
      <c r="F46" s="40"/>
      <c r="G46" s="40"/>
      <c r="H46" s="40">
        <f t="shared" si="6"/>
        <v>1</v>
      </c>
      <c r="I46" s="41">
        <v>-64.42</v>
      </c>
      <c r="J46" s="41" t="s">
        <v>44</v>
      </c>
      <c r="K46" s="41" t="s">
        <v>98</v>
      </c>
      <c r="L46" s="41">
        <f t="shared" si="7"/>
        <v>-64.42</v>
      </c>
      <c r="M46" s="41">
        <f t="shared" si="8"/>
        <v>-64.42</v>
      </c>
      <c r="N46" s="42">
        <v>1</v>
      </c>
      <c r="O46" s="67"/>
      <c r="P46" s="67" t="str">
        <f t="shared" si="9"/>
        <v/>
      </c>
      <c r="Q46" s="40" t="str">
        <f t="shared" ca="1" si="10"/>
        <v/>
      </c>
    </row>
    <row r="47" spans="3:17" x14ac:dyDescent="0.25">
      <c r="C47" s="38"/>
      <c r="D47" s="49" t="s">
        <v>100</v>
      </c>
      <c r="E47" s="40" t="s">
        <v>1</v>
      </c>
      <c r="F47" s="40"/>
      <c r="G47" s="40"/>
      <c r="H47" s="40">
        <f t="shared" si="6"/>
        <v>1</v>
      </c>
      <c r="I47" s="41">
        <v>286.39</v>
      </c>
      <c r="J47" s="41" t="s">
        <v>44</v>
      </c>
      <c r="K47" s="41" t="s">
        <v>74</v>
      </c>
      <c r="L47" s="41">
        <f t="shared" si="7"/>
        <v>28.638999999999999</v>
      </c>
      <c r="M47" s="41">
        <f t="shared" si="8"/>
        <v>28.638999999999999</v>
      </c>
      <c r="N47" s="42">
        <v>10</v>
      </c>
      <c r="O47" s="67">
        <v>46176</v>
      </c>
      <c r="P47" s="67">
        <f t="shared" si="9"/>
        <v>46449</v>
      </c>
      <c r="Q47" s="40">
        <f t="shared" ca="1" si="10"/>
        <v>2</v>
      </c>
    </row>
    <row r="48" spans="3:17" x14ac:dyDescent="0.25">
      <c r="C48" s="38"/>
      <c r="D48" s="49" t="s">
        <v>101</v>
      </c>
      <c r="E48" s="40" t="s">
        <v>1</v>
      </c>
      <c r="F48" s="40"/>
      <c r="G48" s="40"/>
      <c r="H48" s="40">
        <f t="shared" si="6"/>
        <v>1</v>
      </c>
      <c r="I48" s="41">
        <v>399.9</v>
      </c>
      <c r="J48" s="41" t="s">
        <v>44</v>
      </c>
      <c r="K48" s="41" t="s">
        <v>83</v>
      </c>
      <c r="L48" s="41">
        <f t="shared" si="7"/>
        <v>57.128571428571426</v>
      </c>
      <c r="M48" s="41">
        <f t="shared" si="8"/>
        <v>57.128571428571426</v>
      </c>
      <c r="N48" s="42">
        <v>7</v>
      </c>
      <c r="O48" s="67">
        <v>46206</v>
      </c>
      <c r="P48" s="67">
        <f t="shared" si="9"/>
        <v>46390</v>
      </c>
      <c r="Q48" s="40">
        <f t="shared" ca="1" si="10"/>
        <v>1</v>
      </c>
    </row>
    <row r="49" spans="3:17" x14ac:dyDescent="0.25">
      <c r="C49" s="38"/>
      <c r="D49" s="49" t="s">
        <v>102</v>
      </c>
      <c r="E49" s="40" t="s">
        <v>1</v>
      </c>
      <c r="F49" s="40"/>
      <c r="G49" s="40"/>
      <c r="H49" s="40">
        <f t="shared" si="6"/>
        <v>1</v>
      </c>
      <c r="I49" s="41">
        <v>372.43</v>
      </c>
      <c r="J49" s="41" t="s">
        <v>44</v>
      </c>
      <c r="K49" s="41" t="s">
        <v>74</v>
      </c>
      <c r="L49" s="41">
        <f t="shared" si="7"/>
        <v>93.107500000000002</v>
      </c>
      <c r="M49" s="41">
        <f t="shared" si="8"/>
        <v>93.107500000000002</v>
      </c>
      <c r="N49" s="42">
        <v>4</v>
      </c>
      <c r="O49" s="67">
        <v>46206</v>
      </c>
      <c r="P49" s="67">
        <f t="shared" si="9"/>
        <v>46298</v>
      </c>
      <c r="Q49" s="40">
        <f t="shared" ca="1" si="10"/>
        <v>1</v>
      </c>
    </row>
    <row r="50" spans="3:17" x14ac:dyDescent="0.25">
      <c r="C50" s="38"/>
      <c r="D50" s="49" t="s">
        <v>103</v>
      </c>
      <c r="E50" s="40" t="s">
        <v>1</v>
      </c>
      <c r="F50" s="40"/>
      <c r="G50" s="40"/>
      <c r="H50" s="40">
        <f t="shared" si="6"/>
        <v>1</v>
      </c>
      <c r="I50" s="41">
        <v>1181.1400000000001</v>
      </c>
      <c r="J50" s="41" t="s">
        <v>44</v>
      </c>
      <c r="K50" s="41" t="s">
        <v>74</v>
      </c>
      <c r="L50" s="41">
        <f t="shared" si="7"/>
        <v>118.114</v>
      </c>
      <c r="M50" s="41">
        <f t="shared" si="8"/>
        <v>118.114</v>
      </c>
      <c r="N50" s="42">
        <v>10</v>
      </c>
      <c r="O50" s="67">
        <v>46206</v>
      </c>
      <c r="P50" s="67">
        <f t="shared" si="9"/>
        <v>46480</v>
      </c>
      <c r="Q50" s="40">
        <f t="shared" ca="1" si="10"/>
        <v>1</v>
      </c>
    </row>
    <row r="51" spans="3:17" x14ac:dyDescent="0.25">
      <c r="C51" s="38"/>
      <c r="D51" s="49" t="s">
        <v>104</v>
      </c>
      <c r="E51" s="40" t="s">
        <v>1</v>
      </c>
      <c r="F51" s="40" t="s">
        <v>2</v>
      </c>
      <c r="G51" s="40"/>
      <c r="H51" s="40">
        <f t="shared" si="6"/>
        <v>2</v>
      </c>
      <c r="I51" s="41">
        <v>1780</v>
      </c>
      <c r="J51" s="71" t="s">
        <v>44</v>
      </c>
      <c r="K51" s="41" t="s">
        <v>74</v>
      </c>
      <c r="L51" s="41">
        <f t="shared" si="7"/>
        <v>222.5</v>
      </c>
      <c r="M51" s="41">
        <f t="shared" si="8"/>
        <v>111.25</v>
      </c>
      <c r="N51" s="42">
        <v>8</v>
      </c>
      <c r="O51" s="67"/>
      <c r="P51" s="67">
        <f t="shared" si="9"/>
        <v>213</v>
      </c>
      <c r="Q51" s="40" t="str">
        <f t="shared" ca="1" si="10"/>
        <v/>
      </c>
    </row>
    <row r="52" spans="3:17" x14ac:dyDescent="0.25">
      <c r="C52" s="38"/>
      <c r="D52" s="49" t="s">
        <v>105</v>
      </c>
      <c r="E52" s="40"/>
      <c r="F52" s="40"/>
      <c r="G52" s="40"/>
      <c r="H52" s="40">
        <f t="shared" si="6"/>
        <v>0</v>
      </c>
      <c r="I52" s="41">
        <v>300</v>
      </c>
      <c r="J52" s="41" t="s">
        <v>44</v>
      </c>
      <c r="K52" s="41" t="s">
        <v>74</v>
      </c>
      <c r="L52" s="41">
        <f t="shared" si="7"/>
        <v>50</v>
      </c>
      <c r="M52" s="41" t="str">
        <f t="shared" si="8"/>
        <v/>
      </c>
      <c r="N52" s="42">
        <v>6</v>
      </c>
      <c r="O52" s="67">
        <v>46237</v>
      </c>
      <c r="P52" s="67">
        <f t="shared" si="9"/>
        <v>46390</v>
      </c>
      <c r="Q52" s="40" t="str">
        <f t="shared" ca="1" si="10"/>
        <v/>
      </c>
    </row>
    <row r="53" spans="3:17" x14ac:dyDescent="0.25">
      <c r="C53" s="38"/>
      <c r="D53" s="49" t="s">
        <v>106</v>
      </c>
      <c r="E53" s="40" t="s">
        <v>1</v>
      </c>
      <c r="F53" s="40"/>
      <c r="G53" s="40"/>
      <c r="H53" s="40">
        <f t="shared" si="6"/>
        <v>1</v>
      </c>
      <c r="I53" s="41">
        <v>284</v>
      </c>
      <c r="J53" s="41" t="s">
        <v>44</v>
      </c>
      <c r="K53" s="41" t="s">
        <v>89</v>
      </c>
      <c r="L53" s="41">
        <f t="shared" si="7"/>
        <v>47.333333333333336</v>
      </c>
      <c r="M53" s="41">
        <f t="shared" si="8"/>
        <v>47.333333333333336</v>
      </c>
      <c r="N53" s="42">
        <v>6</v>
      </c>
      <c r="O53" s="67">
        <v>46237</v>
      </c>
      <c r="P53" s="67">
        <f t="shared" si="9"/>
        <v>46390</v>
      </c>
      <c r="Q53" s="40" t="str">
        <f t="shared" ca="1" si="10"/>
        <v/>
      </c>
    </row>
    <row r="54" spans="3:17" x14ac:dyDescent="0.25">
      <c r="C54" s="38"/>
      <c r="D54" s="49" t="s">
        <v>107</v>
      </c>
      <c r="E54" s="40" t="s">
        <v>1</v>
      </c>
      <c r="F54" s="40"/>
      <c r="G54" s="40"/>
      <c r="H54" s="40">
        <f t="shared" si="6"/>
        <v>1</v>
      </c>
      <c r="I54" s="41">
        <v>55</v>
      </c>
      <c r="J54" s="41" t="s">
        <v>108</v>
      </c>
      <c r="K54" s="41" t="s">
        <v>45</v>
      </c>
      <c r="L54" s="41">
        <f t="shared" si="7"/>
        <v>55</v>
      </c>
      <c r="M54" s="41">
        <f t="shared" si="8"/>
        <v>55</v>
      </c>
      <c r="N54" s="42">
        <v>1</v>
      </c>
      <c r="O54" s="67">
        <v>46237</v>
      </c>
      <c r="P54" s="67" t="str">
        <f t="shared" si="9"/>
        <v/>
      </c>
      <c r="Q54" s="40" t="str">
        <f t="shared" ca="1" si="10"/>
        <v/>
      </c>
    </row>
    <row r="55" spans="3:17" x14ac:dyDescent="0.25">
      <c r="C55" s="38"/>
      <c r="D55" s="49" t="s">
        <v>109</v>
      </c>
      <c r="E55" s="40" t="s">
        <v>1</v>
      </c>
      <c r="F55" s="40"/>
      <c r="G55" s="40"/>
      <c r="H55" s="40">
        <f t="shared" si="6"/>
        <v>1</v>
      </c>
      <c r="I55" s="41">
        <v>498</v>
      </c>
      <c r="J55" s="41" t="s">
        <v>110</v>
      </c>
      <c r="K55" s="41" t="s">
        <v>52</v>
      </c>
      <c r="L55" s="41">
        <f t="shared" si="7"/>
        <v>498</v>
      </c>
      <c r="M55" s="41">
        <f t="shared" si="8"/>
        <v>498</v>
      </c>
      <c r="N55" s="42">
        <v>1</v>
      </c>
      <c r="O55" s="67"/>
      <c r="P55" s="67" t="str">
        <f t="shared" si="9"/>
        <v/>
      </c>
      <c r="Q55" s="40" t="str">
        <f t="shared" ca="1" si="10"/>
        <v/>
      </c>
    </row>
    <row r="56" spans="3:17" x14ac:dyDescent="0.25">
      <c r="C56" s="38"/>
      <c r="D56" s="49" t="s">
        <v>111</v>
      </c>
      <c r="E56" s="40" t="s">
        <v>1</v>
      </c>
      <c r="F56" s="40" t="s">
        <v>2</v>
      </c>
      <c r="G56" s="40"/>
      <c r="H56" s="40">
        <f t="shared" si="6"/>
        <v>2</v>
      </c>
      <c r="I56" s="41">
        <v>40</v>
      </c>
      <c r="J56" s="41" t="s">
        <v>108</v>
      </c>
      <c r="K56" s="41" t="s">
        <v>112</v>
      </c>
      <c r="L56" s="41">
        <f t="shared" si="7"/>
        <v>40</v>
      </c>
      <c r="M56" s="41">
        <f t="shared" si="8"/>
        <v>20</v>
      </c>
      <c r="N56" s="42">
        <v>1</v>
      </c>
      <c r="O56" s="67"/>
      <c r="P56" s="67" t="str">
        <f t="shared" si="9"/>
        <v/>
      </c>
      <c r="Q56" s="40" t="str">
        <f t="shared" ca="1" si="10"/>
        <v/>
      </c>
    </row>
    <row r="57" spans="3:17" x14ac:dyDescent="0.25">
      <c r="C57" s="38"/>
      <c r="D57" s="49" t="s">
        <v>113</v>
      </c>
      <c r="E57" s="40" t="s">
        <v>1</v>
      </c>
      <c r="F57" s="40"/>
      <c r="G57" s="40"/>
      <c r="H57" s="40">
        <f t="shared" si="6"/>
        <v>1</v>
      </c>
      <c r="I57" s="41">
        <v>32</v>
      </c>
      <c r="J57" s="41"/>
      <c r="K57" s="41"/>
      <c r="L57" s="41">
        <f t="shared" si="7"/>
        <v>32</v>
      </c>
      <c r="M57" s="41">
        <f t="shared" si="8"/>
        <v>32</v>
      </c>
      <c r="N57" s="42">
        <v>1</v>
      </c>
      <c r="O57" s="67"/>
      <c r="P57" s="67" t="str">
        <f t="shared" si="9"/>
        <v/>
      </c>
      <c r="Q57" s="40" t="str">
        <f t="shared" ca="1" si="10"/>
        <v/>
      </c>
    </row>
    <row r="58" spans="3:17" x14ac:dyDescent="0.25">
      <c r="C58" s="38"/>
      <c r="D58" s="49" t="s">
        <v>114</v>
      </c>
      <c r="E58" s="40"/>
      <c r="F58" s="40" t="s">
        <v>2</v>
      </c>
      <c r="G58" s="40"/>
      <c r="H58" s="40">
        <f t="shared" si="6"/>
        <v>1</v>
      </c>
      <c r="I58" s="41">
        <v>166</v>
      </c>
      <c r="J58" s="41"/>
      <c r="K58" s="41"/>
      <c r="L58" s="41">
        <f t="shared" si="7"/>
        <v>166</v>
      </c>
      <c r="M58" s="41">
        <f t="shared" si="8"/>
        <v>166</v>
      </c>
      <c r="N58" s="42">
        <v>1</v>
      </c>
      <c r="O58" s="67"/>
      <c r="P58" s="67" t="str">
        <f t="shared" si="9"/>
        <v/>
      </c>
      <c r="Q58" s="40" t="str">
        <f t="shared" ca="1" si="10"/>
        <v/>
      </c>
    </row>
    <row r="59" spans="3:17" x14ac:dyDescent="0.25">
      <c r="C59" s="38"/>
      <c r="D59" s="49" t="s">
        <v>115</v>
      </c>
      <c r="E59" s="40" t="s">
        <v>1</v>
      </c>
      <c r="F59" s="40" t="s">
        <v>2</v>
      </c>
      <c r="G59" s="40"/>
      <c r="H59" s="40">
        <f t="shared" si="6"/>
        <v>2</v>
      </c>
      <c r="I59" s="41">
        <v>74</v>
      </c>
      <c r="J59" s="41"/>
      <c r="K59" s="41"/>
      <c r="L59" s="41">
        <f t="shared" si="7"/>
        <v>74</v>
      </c>
      <c r="M59" s="41">
        <f t="shared" si="8"/>
        <v>37</v>
      </c>
      <c r="N59" s="42">
        <v>1</v>
      </c>
      <c r="O59" s="67"/>
      <c r="P59" s="67" t="str">
        <f t="shared" si="9"/>
        <v/>
      </c>
      <c r="Q59" s="40" t="str">
        <f t="shared" ca="1" si="10"/>
        <v/>
      </c>
    </row>
    <row r="60" spans="3:17" x14ac:dyDescent="0.25">
      <c r="C60" s="38"/>
      <c r="D60" s="49" t="s">
        <v>116</v>
      </c>
      <c r="E60" s="40" t="s">
        <v>1</v>
      </c>
      <c r="F60" s="40"/>
      <c r="G60" s="40"/>
      <c r="H60" s="40">
        <f t="shared" si="6"/>
        <v>1</v>
      </c>
      <c r="I60" s="41">
        <v>-37</v>
      </c>
      <c r="J60" s="41"/>
      <c r="K60" s="41"/>
      <c r="L60" s="41">
        <f t="shared" si="7"/>
        <v>-37</v>
      </c>
      <c r="M60" s="41">
        <f t="shared" si="8"/>
        <v>-37</v>
      </c>
      <c r="N60" s="42">
        <v>1</v>
      </c>
      <c r="O60" s="67"/>
      <c r="P60" s="67" t="str">
        <f t="shared" si="9"/>
        <v/>
      </c>
      <c r="Q60" s="40" t="str">
        <f t="shared" ca="1" si="10"/>
        <v/>
      </c>
    </row>
    <row r="61" spans="3:17" x14ac:dyDescent="0.25">
      <c r="C61" s="38" t="s">
        <v>117</v>
      </c>
      <c r="D61" s="49" t="s">
        <v>118</v>
      </c>
      <c r="E61" s="40" t="s">
        <v>1</v>
      </c>
      <c r="F61" s="40"/>
      <c r="G61" s="40"/>
      <c r="H61" s="40">
        <f t="shared" si="6"/>
        <v>1</v>
      </c>
      <c r="I61" s="41">
        <v>279</v>
      </c>
      <c r="J61" s="41" t="s">
        <v>44</v>
      </c>
      <c r="K61" s="41"/>
      <c r="L61" s="41">
        <f t="shared" si="7"/>
        <v>27.9</v>
      </c>
      <c r="M61" s="41">
        <f t="shared" si="8"/>
        <v>27.9</v>
      </c>
      <c r="N61" s="42">
        <v>10</v>
      </c>
      <c r="O61" s="67">
        <v>46237</v>
      </c>
      <c r="P61" s="67">
        <f t="shared" si="9"/>
        <v>46510</v>
      </c>
      <c r="Q61" s="40" t="str">
        <f t="shared" ca="1" si="10"/>
        <v/>
      </c>
    </row>
    <row r="62" spans="3:17" x14ac:dyDescent="0.25">
      <c r="C62" s="38"/>
      <c r="D62" s="49" t="s">
        <v>119</v>
      </c>
      <c r="E62" s="40" t="s">
        <v>1</v>
      </c>
      <c r="F62" s="40" t="s">
        <v>2</v>
      </c>
      <c r="G62" s="40"/>
      <c r="H62" s="40">
        <f t="shared" si="6"/>
        <v>2</v>
      </c>
      <c r="I62" s="41">
        <v>36</v>
      </c>
      <c r="J62" s="41"/>
      <c r="K62" s="41"/>
      <c r="L62" s="41">
        <f t="shared" si="7"/>
        <v>36</v>
      </c>
      <c r="M62" s="41">
        <f t="shared" si="8"/>
        <v>18</v>
      </c>
      <c r="N62" s="42">
        <v>1</v>
      </c>
      <c r="O62" s="67"/>
      <c r="P62" s="67" t="str">
        <f t="shared" si="9"/>
        <v/>
      </c>
      <c r="Q62" s="40" t="str">
        <f t="shared" ca="1" si="10"/>
        <v/>
      </c>
    </row>
    <row r="63" spans="3:17" x14ac:dyDescent="0.25">
      <c r="C63" s="38"/>
      <c r="D63" s="49" t="s">
        <v>120</v>
      </c>
      <c r="E63" s="40" t="s">
        <v>1</v>
      </c>
      <c r="F63" s="40"/>
      <c r="G63" s="40"/>
      <c r="H63" s="40">
        <f t="shared" si="6"/>
        <v>1</v>
      </c>
      <c r="I63" s="41">
        <v>35</v>
      </c>
      <c r="J63" s="41"/>
      <c r="K63" s="41"/>
      <c r="L63" s="41">
        <f t="shared" si="7"/>
        <v>35</v>
      </c>
      <c r="M63" s="41">
        <f t="shared" si="8"/>
        <v>35</v>
      </c>
      <c r="N63" s="42">
        <v>1</v>
      </c>
      <c r="O63" s="67"/>
      <c r="P63" s="67" t="str">
        <f t="shared" si="9"/>
        <v/>
      </c>
      <c r="Q63" s="40" t="str">
        <f t="shared" ca="1" si="10"/>
        <v/>
      </c>
    </row>
    <row r="64" spans="3:17" x14ac:dyDescent="0.25">
      <c r="C64" s="38"/>
      <c r="D64" s="49" t="s">
        <v>121</v>
      </c>
      <c r="E64" s="40" t="s">
        <v>1</v>
      </c>
      <c r="F64" s="40" t="s">
        <v>2</v>
      </c>
      <c r="G64" s="40"/>
      <c r="H64" s="40">
        <f t="shared" si="6"/>
        <v>2</v>
      </c>
      <c r="I64" s="41">
        <v>75</v>
      </c>
      <c r="J64" s="41"/>
      <c r="K64" s="41"/>
      <c r="L64" s="41">
        <f t="shared" si="7"/>
        <v>75</v>
      </c>
      <c r="M64" s="41">
        <f t="shared" si="8"/>
        <v>37.5</v>
      </c>
      <c r="N64" s="42">
        <v>1</v>
      </c>
      <c r="O64" s="67"/>
      <c r="P64" s="67" t="str">
        <f t="shared" si="9"/>
        <v/>
      </c>
      <c r="Q64" s="40" t="str">
        <f t="shared" ca="1" si="10"/>
        <v/>
      </c>
    </row>
    <row r="65" spans="3:17" x14ac:dyDescent="0.25">
      <c r="C65" s="38"/>
      <c r="D65" s="49" t="s">
        <v>123</v>
      </c>
      <c r="E65" s="40" t="s">
        <v>1</v>
      </c>
      <c r="F65" s="40" t="s">
        <v>2</v>
      </c>
      <c r="G65" s="40"/>
      <c r="H65" s="40">
        <f t="shared" si="6"/>
        <v>2</v>
      </c>
      <c r="I65" s="41">
        <v>74</v>
      </c>
      <c r="J65" s="41"/>
      <c r="K65" s="41"/>
      <c r="L65" s="41">
        <f t="shared" si="7"/>
        <v>74</v>
      </c>
      <c r="M65" s="41">
        <f t="shared" si="8"/>
        <v>37</v>
      </c>
      <c r="N65" s="42">
        <v>1</v>
      </c>
      <c r="O65" s="67"/>
      <c r="P65" s="67" t="str">
        <f t="shared" si="9"/>
        <v/>
      </c>
      <c r="Q65" s="40" t="str">
        <f t="shared" ca="1" si="10"/>
        <v/>
      </c>
    </row>
    <row r="66" spans="3:17" x14ac:dyDescent="0.25">
      <c r="C66" s="38"/>
      <c r="D66" s="49" t="s">
        <v>122</v>
      </c>
      <c r="E66" s="40"/>
      <c r="F66" s="40" t="s">
        <v>2</v>
      </c>
      <c r="G66" s="40"/>
      <c r="H66" s="40">
        <f t="shared" si="6"/>
        <v>1</v>
      </c>
      <c r="I66" s="41">
        <v>107.5</v>
      </c>
      <c r="J66" s="41"/>
      <c r="K66" s="41"/>
      <c r="L66" s="41">
        <f t="shared" si="7"/>
        <v>107.5</v>
      </c>
      <c r="M66" s="41">
        <f t="shared" si="8"/>
        <v>107.5</v>
      </c>
      <c r="N66" s="42">
        <v>1</v>
      </c>
      <c r="O66" s="67"/>
      <c r="P66" s="67" t="str">
        <f t="shared" si="9"/>
        <v/>
      </c>
      <c r="Q66" s="40" t="str">
        <f t="shared" ca="1" si="10"/>
        <v/>
      </c>
    </row>
    <row r="67" spans="3:17" x14ac:dyDescent="0.25">
      <c r="C67" s="38"/>
      <c r="D67" s="49" t="s">
        <v>122</v>
      </c>
      <c r="E67" s="40" t="s">
        <v>1</v>
      </c>
      <c r="F67" s="40"/>
      <c r="G67" s="40"/>
      <c r="H67" s="40">
        <f t="shared" si="6"/>
        <v>1</v>
      </c>
      <c r="I67" s="41">
        <v>37.5</v>
      </c>
      <c r="J67" s="41"/>
      <c r="K67" s="41"/>
      <c r="L67" s="41">
        <f t="shared" si="7"/>
        <v>37.5</v>
      </c>
      <c r="M67" s="41">
        <f t="shared" si="8"/>
        <v>37.5</v>
      </c>
      <c r="N67" s="42">
        <v>1</v>
      </c>
      <c r="O67" s="67"/>
      <c r="P67" s="67" t="str">
        <f t="shared" si="9"/>
        <v/>
      </c>
      <c r="Q67" s="40" t="str">
        <f t="shared" ca="1" si="10"/>
        <v/>
      </c>
    </row>
    <row r="68" spans="3:17" x14ac:dyDescent="0.25">
      <c r="C68" s="38"/>
      <c r="D68" s="49" t="s">
        <v>124</v>
      </c>
      <c r="E68" s="40" t="s">
        <v>1</v>
      </c>
      <c r="F68" s="40"/>
      <c r="G68" s="40"/>
      <c r="H68" s="40">
        <f t="shared" si="6"/>
        <v>1</v>
      </c>
      <c r="I68" s="41">
        <v>50</v>
      </c>
      <c r="J68" s="41"/>
      <c r="K68" s="41"/>
      <c r="L68" s="41">
        <f t="shared" si="7"/>
        <v>50</v>
      </c>
      <c r="M68" s="41">
        <f t="shared" si="8"/>
        <v>50</v>
      </c>
      <c r="N68" s="42">
        <v>1</v>
      </c>
      <c r="O68" s="38"/>
      <c r="P68" s="38" t="str">
        <f t="shared" si="9"/>
        <v/>
      </c>
      <c r="Q68" s="40" t="str">
        <f t="shared" ca="1" si="10"/>
        <v/>
      </c>
    </row>
    <row r="69" spans="3:17" x14ac:dyDescent="0.25">
      <c r="C69" s="38"/>
      <c r="D69" s="49" t="s">
        <v>223</v>
      </c>
      <c r="E69" s="40" t="s">
        <v>1</v>
      </c>
      <c r="F69" s="40"/>
      <c r="G69" s="40"/>
      <c r="H69" s="40">
        <f t="shared" ref="H69:H100" si="11">COUNTA(E69:G69)</f>
        <v>1</v>
      </c>
      <c r="I69" s="41">
        <v>35</v>
      </c>
      <c r="J69" s="41"/>
      <c r="K69" s="41"/>
      <c r="L69" s="41">
        <f t="shared" ref="L69:L100" si="12">I69/N69</f>
        <v>35</v>
      </c>
      <c r="M69" s="41">
        <f t="shared" ref="M69:M100" si="13">IFERROR(L69/H69,"")</f>
        <v>35</v>
      </c>
      <c r="N69" s="42">
        <v>1</v>
      </c>
      <c r="O69" s="38"/>
      <c r="P69" s="38" t="str">
        <f t="shared" ref="P69:P100" si="14">IF(N69&lt;&gt;1,EDATE(O69,N69-1),"")</f>
        <v/>
      </c>
      <c r="Q69" s="40" t="str">
        <f t="shared" ca="1" si="10"/>
        <v/>
      </c>
    </row>
    <row r="70" spans="3:17" x14ac:dyDescent="0.25">
      <c r="C70" s="38"/>
      <c r="D70" s="49" t="s">
        <v>224</v>
      </c>
      <c r="E70" s="40" t="s">
        <v>1</v>
      </c>
      <c r="F70" s="40"/>
      <c r="G70" s="40"/>
      <c r="H70" s="40">
        <f t="shared" si="11"/>
        <v>1</v>
      </c>
      <c r="I70" s="41">
        <v>52.14</v>
      </c>
      <c r="J70" s="41"/>
      <c r="K70" s="41"/>
      <c r="L70" s="41">
        <f t="shared" si="12"/>
        <v>52.14</v>
      </c>
      <c r="M70" s="41">
        <f t="shared" si="13"/>
        <v>52.14</v>
      </c>
      <c r="N70" s="42">
        <v>1</v>
      </c>
      <c r="O70" s="38"/>
      <c r="P70" s="38" t="str">
        <f t="shared" si="14"/>
        <v/>
      </c>
      <c r="Q70" s="40" t="str">
        <f t="shared" ca="1" si="10"/>
        <v/>
      </c>
    </row>
    <row r="71" spans="3:17" x14ac:dyDescent="0.25">
      <c r="C71" s="38"/>
      <c r="D71" s="49" t="s">
        <v>225</v>
      </c>
      <c r="E71" s="40" t="s">
        <v>1</v>
      </c>
      <c r="F71" s="40" t="s">
        <v>2</v>
      </c>
      <c r="G71" s="40"/>
      <c r="H71" s="40">
        <f t="shared" si="11"/>
        <v>2</v>
      </c>
      <c r="I71" s="41">
        <v>130.01</v>
      </c>
      <c r="J71" s="41"/>
      <c r="K71" s="41"/>
      <c r="L71" s="41">
        <f t="shared" si="12"/>
        <v>130.01</v>
      </c>
      <c r="M71" s="41">
        <f t="shared" si="13"/>
        <v>65.004999999999995</v>
      </c>
      <c r="N71" s="42">
        <v>1</v>
      </c>
      <c r="O71" s="38"/>
      <c r="P71" s="38" t="str">
        <f t="shared" si="14"/>
        <v/>
      </c>
      <c r="Q71" s="40" t="str">
        <f t="shared" ca="1" si="10"/>
        <v/>
      </c>
    </row>
    <row r="72" spans="3:17" x14ac:dyDescent="0.25">
      <c r="C72" s="38"/>
      <c r="D72" s="49" t="s">
        <v>226</v>
      </c>
      <c r="E72" s="40" t="s">
        <v>1</v>
      </c>
      <c r="F72" s="40"/>
      <c r="G72" s="40"/>
      <c r="H72" s="40">
        <f t="shared" si="11"/>
        <v>1</v>
      </c>
      <c r="I72" s="41">
        <v>99</v>
      </c>
      <c r="J72" s="41"/>
      <c r="K72" s="41"/>
      <c r="L72" s="41">
        <f t="shared" si="12"/>
        <v>99</v>
      </c>
      <c r="M72" s="41">
        <f t="shared" si="13"/>
        <v>99</v>
      </c>
      <c r="N72" s="42">
        <v>1</v>
      </c>
      <c r="O72" s="38"/>
      <c r="P72" s="38" t="str">
        <f t="shared" si="14"/>
        <v/>
      </c>
      <c r="Q72" s="40" t="str">
        <f t="shared" ca="1" si="10"/>
        <v/>
      </c>
    </row>
    <row r="73" spans="3:17" x14ac:dyDescent="0.25">
      <c r="C73" s="38"/>
      <c r="D73" s="49" t="s">
        <v>227</v>
      </c>
      <c r="E73" s="40" t="s">
        <v>1</v>
      </c>
      <c r="F73" s="40"/>
      <c r="G73" s="40"/>
      <c r="H73" s="40">
        <f t="shared" si="11"/>
        <v>1</v>
      </c>
      <c r="I73" s="41">
        <v>-99</v>
      </c>
      <c r="J73" s="41"/>
      <c r="K73" s="41"/>
      <c r="L73" s="41">
        <f t="shared" si="12"/>
        <v>-99</v>
      </c>
      <c r="M73" s="41">
        <f t="shared" si="13"/>
        <v>-99</v>
      </c>
      <c r="N73" s="42">
        <v>1</v>
      </c>
      <c r="O73" s="38"/>
      <c r="P73" s="38" t="str">
        <f t="shared" si="14"/>
        <v/>
      </c>
      <c r="Q73" s="40" t="str">
        <f t="shared" ca="1" si="10"/>
        <v/>
      </c>
    </row>
    <row r="74" spans="3:17" x14ac:dyDescent="0.25">
      <c r="C74" s="38"/>
      <c r="D74" s="49" t="s">
        <v>228</v>
      </c>
      <c r="E74" s="40" t="s">
        <v>1</v>
      </c>
      <c r="F74" s="40" t="s">
        <v>2</v>
      </c>
      <c r="G74" s="40"/>
      <c r="H74" s="40">
        <f t="shared" si="11"/>
        <v>2</v>
      </c>
      <c r="I74" s="41">
        <v>139</v>
      </c>
      <c r="J74" s="41"/>
      <c r="K74" s="41"/>
      <c r="L74" s="41">
        <f t="shared" si="12"/>
        <v>139</v>
      </c>
      <c r="M74" s="41">
        <f t="shared" si="13"/>
        <v>69.5</v>
      </c>
      <c r="N74" s="42">
        <v>1</v>
      </c>
      <c r="O74" s="38"/>
      <c r="P74" s="38" t="str">
        <f t="shared" si="14"/>
        <v/>
      </c>
      <c r="Q74" s="40" t="str">
        <f t="shared" ref="Q74:Q105" ca="1" si="15">IF(O74&lt;&gt;"",IFERROR(DATEDIF(O74,TODAY(),"m")+1,""),"")</f>
        <v/>
      </c>
    </row>
    <row r="75" spans="3:17" x14ac:dyDescent="0.25">
      <c r="C75" s="38"/>
      <c r="D75" s="49" t="s">
        <v>229</v>
      </c>
      <c r="E75" s="40"/>
      <c r="F75" s="40" t="s">
        <v>2</v>
      </c>
      <c r="G75" s="40"/>
      <c r="H75" s="40">
        <f t="shared" si="11"/>
        <v>1</v>
      </c>
      <c r="I75" s="41">
        <v>100</v>
      </c>
      <c r="J75" s="41"/>
      <c r="K75" s="41"/>
      <c r="L75" s="41">
        <f t="shared" si="12"/>
        <v>100</v>
      </c>
      <c r="M75" s="41">
        <f t="shared" si="13"/>
        <v>100</v>
      </c>
      <c r="N75" s="42">
        <v>1</v>
      </c>
      <c r="O75" s="38"/>
      <c r="P75" s="38" t="str">
        <f t="shared" si="14"/>
        <v/>
      </c>
      <c r="Q75" s="40" t="str">
        <f t="shared" ca="1" si="15"/>
        <v/>
      </c>
    </row>
    <row r="76" spans="3:17" x14ac:dyDescent="0.25">
      <c r="C76" s="38"/>
      <c r="D76" s="49" t="s">
        <v>230</v>
      </c>
      <c r="E76" s="40" t="s">
        <v>1</v>
      </c>
      <c r="F76" s="40" t="s">
        <v>2</v>
      </c>
      <c r="G76" s="40"/>
      <c r="H76" s="40">
        <f t="shared" si="11"/>
        <v>2</v>
      </c>
      <c r="I76" s="41">
        <v>90</v>
      </c>
      <c r="J76" s="41"/>
      <c r="K76" s="41"/>
      <c r="L76" s="41">
        <f t="shared" si="12"/>
        <v>90</v>
      </c>
      <c r="M76" s="41">
        <f t="shared" si="13"/>
        <v>45</v>
      </c>
      <c r="N76" s="42">
        <v>1</v>
      </c>
      <c r="O76" s="38"/>
      <c r="P76" s="38" t="str">
        <f t="shared" si="14"/>
        <v/>
      </c>
      <c r="Q76" s="40" t="str">
        <f t="shared" ca="1" si="15"/>
        <v/>
      </c>
    </row>
    <row r="77" spans="3:17" x14ac:dyDescent="0.25">
      <c r="C77" s="38"/>
      <c r="D77" s="49" t="s">
        <v>231</v>
      </c>
      <c r="E77" s="40" t="s">
        <v>1</v>
      </c>
      <c r="F77" s="40"/>
      <c r="G77" s="40"/>
      <c r="H77" s="40">
        <f t="shared" si="11"/>
        <v>1</v>
      </c>
      <c r="I77" s="41">
        <v>-45</v>
      </c>
      <c r="J77" s="41"/>
      <c r="K77" s="41"/>
      <c r="L77" s="41">
        <f t="shared" si="12"/>
        <v>-45</v>
      </c>
      <c r="M77" s="41">
        <f t="shared" si="13"/>
        <v>-45</v>
      </c>
      <c r="N77" s="42">
        <v>1</v>
      </c>
      <c r="O77" s="38"/>
      <c r="P77" s="38" t="str">
        <f t="shared" si="14"/>
        <v/>
      </c>
      <c r="Q77" s="40" t="str">
        <f t="shared" ca="1" si="15"/>
        <v/>
      </c>
    </row>
    <row r="78" spans="3:17" x14ac:dyDescent="0.25">
      <c r="C78" s="38"/>
      <c r="D78" s="49"/>
      <c r="E78" s="40"/>
      <c r="F78" s="40"/>
      <c r="G78" s="40"/>
      <c r="H78" s="40">
        <f t="shared" si="11"/>
        <v>0</v>
      </c>
      <c r="I78" s="41"/>
      <c r="J78" s="41"/>
      <c r="K78" s="41"/>
      <c r="L78" s="41">
        <f t="shared" si="12"/>
        <v>0</v>
      </c>
      <c r="M78" s="41" t="str">
        <f t="shared" si="13"/>
        <v/>
      </c>
      <c r="N78" s="42">
        <v>1</v>
      </c>
      <c r="O78" s="38"/>
      <c r="P78" s="38" t="str">
        <f t="shared" si="14"/>
        <v/>
      </c>
      <c r="Q78" s="40" t="str">
        <f t="shared" ca="1" si="15"/>
        <v/>
      </c>
    </row>
    <row r="79" spans="3:17" x14ac:dyDescent="0.25">
      <c r="C79" s="38"/>
      <c r="D79" s="49"/>
      <c r="E79" s="40"/>
      <c r="F79" s="40"/>
      <c r="G79" s="40"/>
      <c r="H79" s="40">
        <f t="shared" si="11"/>
        <v>0</v>
      </c>
      <c r="I79" s="41"/>
      <c r="J79" s="41"/>
      <c r="K79" s="41"/>
      <c r="L79" s="41">
        <f t="shared" si="12"/>
        <v>0</v>
      </c>
      <c r="M79" s="41" t="str">
        <f t="shared" si="13"/>
        <v/>
      </c>
      <c r="N79" s="42">
        <v>1</v>
      </c>
      <c r="O79" s="38"/>
      <c r="P79" s="38" t="str">
        <f t="shared" si="14"/>
        <v/>
      </c>
      <c r="Q79" s="40" t="str">
        <f t="shared" ca="1" si="15"/>
        <v/>
      </c>
    </row>
    <row r="80" spans="3:17" x14ac:dyDescent="0.25">
      <c r="C80" s="38"/>
      <c r="D80" s="49"/>
      <c r="E80" s="40"/>
      <c r="F80" s="40"/>
      <c r="G80" s="40"/>
      <c r="H80" s="40">
        <f t="shared" si="11"/>
        <v>0</v>
      </c>
      <c r="I80" s="41"/>
      <c r="J80" s="41"/>
      <c r="K80" s="41"/>
      <c r="L80" s="41">
        <f t="shared" si="12"/>
        <v>0</v>
      </c>
      <c r="M80" s="41" t="str">
        <f t="shared" si="13"/>
        <v/>
      </c>
      <c r="N80" s="42">
        <v>1</v>
      </c>
      <c r="O80" s="38"/>
      <c r="P80" s="38" t="str">
        <f t="shared" si="14"/>
        <v/>
      </c>
      <c r="Q80" s="40" t="str">
        <f t="shared" ca="1" si="15"/>
        <v/>
      </c>
    </row>
    <row r="81" spans="3:17" x14ac:dyDescent="0.25">
      <c r="C81" s="38"/>
      <c r="D81" s="49"/>
      <c r="E81" s="40"/>
      <c r="F81" s="40"/>
      <c r="G81" s="40"/>
      <c r="H81" s="40">
        <f t="shared" si="11"/>
        <v>0</v>
      </c>
      <c r="I81" s="41"/>
      <c r="J81" s="41"/>
      <c r="K81" s="41"/>
      <c r="L81" s="41">
        <f t="shared" si="12"/>
        <v>0</v>
      </c>
      <c r="M81" s="41" t="str">
        <f t="shared" si="13"/>
        <v/>
      </c>
      <c r="N81" s="42">
        <v>1</v>
      </c>
      <c r="O81" s="38"/>
      <c r="P81" s="38" t="str">
        <f t="shared" si="14"/>
        <v/>
      </c>
      <c r="Q81" s="40" t="str">
        <f t="shared" ca="1" si="15"/>
        <v/>
      </c>
    </row>
    <row r="82" spans="3:17" x14ac:dyDescent="0.25">
      <c r="C82" s="38"/>
      <c r="D82" s="49"/>
      <c r="E82" s="40"/>
      <c r="F82" s="40"/>
      <c r="G82" s="40"/>
      <c r="H82" s="40">
        <f t="shared" si="11"/>
        <v>0</v>
      </c>
      <c r="I82" s="41"/>
      <c r="J82" s="41"/>
      <c r="K82" s="41"/>
      <c r="L82" s="41">
        <f t="shared" si="12"/>
        <v>0</v>
      </c>
      <c r="M82" s="41" t="str">
        <f t="shared" si="13"/>
        <v/>
      </c>
      <c r="N82" s="42">
        <v>1</v>
      </c>
      <c r="O82" s="38"/>
      <c r="P82" s="38" t="str">
        <f t="shared" si="14"/>
        <v/>
      </c>
      <c r="Q82" s="40" t="str">
        <f t="shared" ca="1" si="15"/>
        <v/>
      </c>
    </row>
    <row r="83" spans="3:17" x14ac:dyDescent="0.25">
      <c r="C83" s="38"/>
      <c r="D83" s="49"/>
      <c r="E83" s="40"/>
      <c r="F83" s="40"/>
      <c r="G83" s="40"/>
      <c r="H83" s="40">
        <f t="shared" si="11"/>
        <v>0</v>
      </c>
      <c r="I83" s="41"/>
      <c r="J83" s="41"/>
      <c r="K83" s="41"/>
      <c r="L83" s="41">
        <f t="shared" si="12"/>
        <v>0</v>
      </c>
      <c r="M83" s="41" t="str">
        <f t="shared" si="13"/>
        <v/>
      </c>
      <c r="N83" s="42">
        <v>1</v>
      </c>
      <c r="O83" s="38"/>
      <c r="P83" s="38" t="str">
        <f t="shared" si="14"/>
        <v/>
      </c>
      <c r="Q83" s="40" t="str">
        <f t="shared" ca="1" si="15"/>
        <v/>
      </c>
    </row>
    <row r="84" spans="3:17" x14ac:dyDescent="0.25">
      <c r="C84" s="38"/>
      <c r="D84" s="49"/>
      <c r="E84" s="40"/>
      <c r="F84" s="40"/>
      <c r="G84" s="40"/>
      <c r="H84" s="40">
        <f t="shared" si="11"/>
        <v>0</v>
      </c>
      <c r="I84" s="41"/>
      <c r="J84" s="41"/>
      <c r="K84" s="41"/>
      <c r="L84" s="41">
        <f t="shared" si="12"/>
        <v>0</v>
      </c>
      <c r="M84" s="41" t="str">
        <f t="shared" si="13"/>
        <v/>
      </c>
      <c r="N84" s="42">
        <v>1</v>
      </c>
      <c r="O84" s="38"/>
      <c r="P84" s="38" t="str">
        <f t="shared" si="14"/>
        <v/>
      </c>
      <c r="Q84" s="40" t="str">
        <f t="shared" ca="1" si="15"/>
        <v/>
      </c>
    </row>
    <row r="85" spans="3:17" x14ac:dyDescent="0.25">
      <c r="C85" s="38"/>
      <c r="D85" s="49"/>
      <c r="E85" s="40"/>
      <c r="F85" s="40"/>
      <c r="G85" s="40"/>
      <c r="H85" s="40">
        <f t="shared" si="11"/>
        <v>0</v>
      </c>
      <c r="I85" s="41"/>
      <c r="J85" s="41"/>
      <c r="K85" s="41"/>
      <c r="L85" s="41">
        <f t="shared" si="12"/>
        <v>0</v>
      </c>
      <c r="M85" s="41" t="str">
        <f t="shared" si="13"/>
        <v/>
      </c>
      <c r="N85" s="42">
        <v>1</v>
      </c>
      <c r="O85" s="38"/>
      <c r="P85" s="38" t="str">
        <f t="shared" si="14"/>
        <v/>
      </c>
      <c r="Q85" s="40" t="str">
        <f t="shared" ca="1" si="15"/>
        <v/>
      </c>
    </row>
    <row r="86" spans="3:17" x14ac:dyDescent="0.25">
      <c r="C86" s="38"/>
      <c r="D86" s="49"/>
      <c r="E86" s="40"/>
      <c r="F86" s="40"/>
      <c r="G86" s="40"/>
      <c r="H86" s="40">
        <f t="shared" si="11"/>
        <v>0</v>
      </c>
      <c r="I86" s="41"/>
      <c r="J86" s="41"/>
      <c r="K86" s="41"/>
      <c r="L86" s="41">
        <f t="shared" si="12"/>
        <v>0</v>
      </c>
      <c r="M86" s="41" t="str">
        <f t="shared" si="13"/>
        <v/>
      </c>
      <c r="N86" s="42">
        <v>1</v>
      </c>
      <c r="O86" s="38"/>
      <c r="P86" s="38" t="str">
        <f t="shared" si="14"/>
        <v/>
      </c>
      <c r="Q86" s="40" t="str">
        <f t="shared" ca="1" si="15"/>
        <v/>
      </c>
    </row>
    <row r="87" spans="3:17" x14ac:dyDescent="0.25">
      <c r="C87" s="38"/>
      <c r="D87" s="49"/>
      <c r="E87" s="40"/>
      <c r="F87" s="40"/>
      <c r="G87" s="40"/>
      <c r="H87" s="40">
        <f t="shared" si="11"/>
        <v>0</v>
      </c>
      <c r="I87" s="41"/>
      <c r="J87" s="41"/>
      <c r="K87" s="41"/>
      <c r="L87" s="41">
        <f t="shared" si="12"/>
        <v>0</v>
      </c>
      <c r="M87" s="41" t="str">
        <f t="shared" si="13"/>
        <v/>
      </c>
      <c r="N87" s="42">
        <v>1</v>
      </c>
      <c r="O87" s="38"/>
      <c r="P87" s="38" t="str">
        <f t="shared" si="14"/>
        <v/>
      </c>
      <c r="Q87" s="40" t="str">
        <f t="shared" ca="1" si="15"/>
        <v/>
      </c>
    </row>
    <row r="88" spans="3:17" x14ac:dyDescent="0.25">
      <c r="C88" s="38"/>
      <c r="D88" s="49"/>
      <c r="E88" s="40"/>
      <c r="F88" s="40"/>
      <c r="G88" s="40"/>
      <c r="H88" s="40">
        <f t="shared" si="11"/>
        <v>0</v>
      </c>
      <c r="I88" s="41"/>
      <c r="J88" s="41"/>
      <c r="K88" s="41"/>
      <c r="L88" s="41">
        <f t="shared" si="12"/>
        <v>0</v>
      </c>
      <c r="M88" s="41" t="str">
        <f t="shared" si="13"/>
        <v/>
      </c>
      <c r="N88" s="42">
        <v>1</v>
      </c>
      <c r="O88" s="38"/>
      <c r="P88" s="38" t="str">
        <f t="shared" si="14"/>
        <v/>
      </c>
      <c r="Q88" s="40" t="str">
        <f t="shared" ca="1" si="15"/>
        <v/>
      </c>
    </row>
    <row r="89" spans="3:17" x14ac:dyDescent="0.25">
      <c r="C89" s="38"/>
      <c r="D89" s="49"/>
      <c r="E89" s="40"/>
      <c r="F89" s="40"/>
      <c r="G89" s="40"/>
      <c r="H89" s="40">
        <f t="shared" si="11"/>
        <v>0</v>
      </c>
      <c r="I89" s="41"/>
      <c r="J89" s="41"/>
      <c r="K89" s="41"/>
      <c r="L89" s="41">
        <f t="shared" si="12"/>
        <v>0</v>
      </c>
      <c r="M89" s="41" t="str">
        <f t="shared" si="13"/>
        <v/>
      </c>
      <c r="N89" s="42">
        <v>1</v>
      </c>
      <c r="O89" s="38"/>
      <c r="P89" s="38" t="str">
        <f t="shared" si="14"/>
        <v/>
      </c>
      <c r="Q89" s="40" t="str">
        <f t="shared" ca="1" si="15"/>
        <v/>
      </c>
    </row>
    <row r="90" spans="3:17" x14ac:dyDescent="0.25">
      <c r="C90" s="38"/>
      <c r="D90" s="49"/>
      <c r="E90" s="40"/>
      <c r="F90" s="40"/>
      <c r="G90" s="40"/>
      <c r="H90" s="40">
        <f t="shared" si="11"/>
        <v>0</v>
      </c>
      <c r="I90" s="41"/>
      <c r="J90" s="41"/>
      <c r="K90" s="41"/>
      <c r="L90" s="41">
        <f t="shared" si="12"/>
        <v>0</v>
      </c>
      <c r="M90" s="41" t="str">
        <f t="shared" si="13"/>
        <v/>
      </c>
      <c r="N90" s="42">
        <v>1</v>
      </c>
      <c r="O90" s="38"/>
      <c r="P90" s="38" t="str">
        <f t="shared" si="14"/>
        <v/>
      </c>
      <c r="Q90" s="40" t="str">
        <f t="shared" ca="1" si="15"/>
        <v/>
      </c>
    </row>
    <row r="91" spans="3:17" x14ac:dyDescent="0.25">
      <c r="C91" s="38"/>
      <c r="D91" s="49"/>
      <c r="E91" s="40"/>
      <c r="F91" s="40"/>
      <c r="G91" s="40"/>
      <c r="H91" s="40">
        <f t="shared" si="11"/>
        <v>0</v>
      </c>
      <c r="I91" s="41"/>
      <c r="J91" s="41"/>
      <c r="K91" s="41"/>
      <c r="L91" s="41">
        <f t="shared" si="12"/>
        <v>0</v>
      </c>
      <c r="M91" s="41" t="str">
        <f t="shared" si="13"/>
        <v/>
      </c>
      <c r="N91" s="42">
        <v>1</v>
      </c>
      <c r="O91" s="38"/>
      <c r="P91" s="38" t="str">
        <f t="shared" si="14"/>
        <v/>
      </c>
      <c r="Q91" s="40" t="str">
        <f t="shared" ca="1" si="15"/>
        <v/>
      </c>
    </row>
    <row r="92" spans="3:17" x14ac:dyDescent="0.25">
      <c r="C92" s="38"/>
      <c r="D92" s="49"/>
      <c r="E92" s="40"/>
      <c r="F92" s="40"/>
      <c r="G92" s="40"/>
      <c r="H92" s="40">
        <f t="shared" si="11"/>
        <v>0</v>
      </c>
      <c r="I92" s="41"/>
      <c r="J92" s="41"/>
      <c r="K92" s="41"/>
      <c r="L92" s="41">
        <f t="shared" si="12"/>
        <v>0</v>
      </c>
      <c r="M92" s="41" t="str">
        <f t="shared" si="13"/>
        <v/>
      </c>
      <c r="N92" s="42">
        <v>1</v>
      </c>
      <c r="O92" s="38"/>
      <c r="P92" s="38" t="str">
        <f t="shared" si="14"/>
        <v/>
      </c>
      <c r="Q92" s="40" t="str">
        <f t="shared" ca="1" si="15"/>
        <v/>
      </c>
    </row>
    <row r="93" spans="3:17" x14ac:dyDescent="0.25">
      <c r="C93" s="38"/>
      <c r="D93" s="49"/>
      <c r="E93" s="40"/>
      <c r="F93" s="40"/>
      <c r="G93" s="40"/>
      <c r="H93" s="40">
        <f t="shared" si="11"/>
        <v>0</v>
      </c>
      <c r="I93" s="41"/>
      <c r="J93" s="41"/>
      <c r="K93" s="41"/>
      <c r="L93" s="41">
        <f t="shared" si="12"/>
        <v>0</v>
      </c>
      <c r="M93" s="41" t="str">
        <f t="shared" si="13"/>
        <v/>
      </c>
      <c r="N93" s="42">
        <v>1</v>
      </c>
      <c r="O93" s="38"/>
      <c r="P93" s="38" t="str">
        <f t="shared" si="14"/>
        <v/>
      </c>
      <c r="Q93" s="40" t="str">
        <f t="shared" ca="1" si="15"/>
        <v/>
      </c>
    </row>
    <row r="94" spans="3:17" x14ac:dyDescent="0.25">
      <c r="C94" s="38"/>
      <c r="D94" s="49"/>
      <c r="E94" s="40"/>
      <c r="F94" s="40"/>
      <c r="G94" s="40"/>
      <c r="H94" s="40">
        <f t="shared" si="11"/>
        <v>0</v>
      </c>
      <c r="I94" s="41"/>
      <c r="J94" s="41"/>
      <c r="K94" s="41"/>
      <c r="L94" s="41">
        <f t="shared" si="12"/>
        <v>0</v>
      </c>
      <c r="M94" s="41" t="str">
        <f t="shared" si="13"/>
        <v/>
      </c>
      <c r="N94" s="42">
        <v>1</v>
      </c>
      <c r="O94" s="38"/>
      <c r="P94" s="38" t="str">
        <f t="shared" si="14"/>
        <v/>
      </c>
      <c r="Q94" s="40" t="str">
        <f t="shared" ca="1" si="15"/>
        <v/>
      </c>
    </row>
    <row r="95" spans="3:17" x14ac:dyDescent="0.25">
      <c r="C95" s="38"/>
      <c r="D95" s="49"/>
      <c r="E95" s="40"/>
      <c r="F95" s="40"/>
      <c r="G95" s="40"/>
      <c r="H95" s="40">
        <f t="shared" si="11"/>
        <v>0</v>
      </c>
      <c r="I95" s="41"/>
      <c r="J95" s="41"/>
      <c r="K95" s="41"/>
      <c r="L95" s="41">
        <f t="shared" si="12"/>
        <v>0</v>
      </c>
      <c r="M95" s="41" t="str">
        <f t="shared" si="13"/>
        <v/>
      </c>
      <c r="N95" s="42">
        <v>1</v>
      </c>
      <c r="O95" s="38"/>
      <c r="P95" s="38" t="str">
        <f t="shared" si="14"/>
        <v/>
      </c>
      <c r="Q95" s="40" t="str">
        <f t="shared" ca="1" si="15"/>
        <v/>
      </c>
    </row>
    <row r="96" spans="3:17" x14ac:dyDescent="0.25">
      <c r="C96" s="38"/>
      <c r="D96" s="49"/>
      <c r="E96" s="40"/>
      <c r="F96" s="40"/>
      <c r="G96" s="40"/>
      <c r="H96" s="40">
        <f t="shared" si="11"/>
        <v>0</v>
      </c>
      <c r="I96" s="41"/>
      <c r="J96" s="41"/>
      <c r="K96" s="41"/>
      <c r="L96" s="41">
        <f t="shared" si="12"/>
        <v>0</v>
      </c>
      <c r="M96" s="41" t="str">
        <f t="shared" si="13"/>
        <v/>
      </c>
      <c r="N96" s="42">
        <v>1</v>
      </c>
      <c r="O96" s="38"/>
      <c r="P96" s="38" t="str">
        <f t="shared" si="14"/>
        <v/>
      </c>
      <c r="Q96" s="40" t="str">
        <f t="shared" ca="1" si="15"/>
        <v/>
      </c>
    </row>
    <row r="97" spans="3:17" x14ac:dyDescent="0.25">
      <c r="C97" s="38"/>
      <c r="D97" s="49"/>
      <c r="E97" s="40"/>
      <c r="F97" s="40"/>
      <c r="G97" s="40"/>
      <c r="H97" s="40">
        <f t="shared" si="11"/>
        <v>0</v>
      </c>
      <c r="I97" s="41"/>
      <c r="J97" s="41"/>
      <c r="K97" s="41"/>
      <c r="L97" s="41">
        <f t="shared" si="12"/>
        <v>0</v>
      </c>
      <c r="M97" s="41" t="str">
        <f t="shared" si="13"/>
        <v/>
      </c>
      <c r="N97" s="42">
        <v>1</v>
      </c>
      <c r="O97" s="38"/>
      <c r="P97" s="38" t="str">
        <f t="shared" si="14"/>
        <v/>
      </c>
      <c r="Q97" s="40" t="str">
        <f t="shared" ca="1" si="15"/>
        <v/>
      </c>
    </row>
    <row r="98" spans="3:17" x14ac:dyDescent="0.25">
      <c r="C98" s="38"/>
      <c r="D98" s="49"/>
      <c r="E98" s="40"/>
      <c r="F98" s="40"/>
      <c r="G98" s="40"/>
      <c r="H98" s="40">
        <f t="shared" si="11"/>
        <v>0</v>
      </c>
      <c r="I98" s="41"/>
      <c r="J98" s="41"/>
      <c r="K98" s="41"/>
      <c r="L98" s="41">
        <f t="shared" si="12"/>
        <v>0</v>
      </c>
      <c r="M98" s="41" t="str">
        <f t="shared" si="13"/>
        <v/>
      </c>
      <c r="N98" s="42">
        <v>1</v>
      </c>
      <c r="O98" s="38"/>
      <c r="P98" s="38" t="str">
        <f t="shared" si="14"/>
        <v/>
      </c>
      <c r="Q98" s="40" t="str">
        <f t="shared" ca="1" si="15"/>
        <v/>
      </c>
    </row>
    <row r="99" spans="3:17" x14ac:dyDescent="0.25">
      <c r="C99" s="38"/>
      <c r="D99" s="49"/>
      <c r="E99" s="40"/>
      <c r="F99" s="40"/>
      <c r="G99" s="40"/>
      <c r="H99" s="40">
        <f t="shared" si="11"/>
        <v>0</v>
      </c>
      <c r="I99" s="41"/>
      <c r="J99" s="41"/>
      <c r="K99" s="41"/>
      <c r="L99" s="41">
        <f t="shared" si="12"/>
        <v>0</v>
      </c>
      <c r="M99" s="41" t="str">
        <f t="shared" si="13"/>
        <v/>
      </c>
      <c r="N99" s="42">
        <v>1</v>
      </c>
      <c r="O99" s="38"/>
      <c r="P99" s="38" t="str">
        <f t="shared" si="14"/>
        <v/>
      </c>
      <c r="Q99" s="40" t="str">
        <f t="shared" ca="1" si="15"/>
        <v/>
      </c>
    </row>
    <row r="100" spans="3:17" x14ac:dyDescent="0.25">
      <c r="C100" s="38"/>
      <c r="D100" s="49"/>
      <c r="E100" s="40"/>
      <c r="F100" s="40"/>
      <c r="G100" s="40"/>
      <c r="H100" s="40">
        <f t="shared" si="11"/>
        <v>0</v>
      </c>
      <c r="I100" s="41"/>
      <c r="J100" s="41"/>
      <c r="K100" s="41"/>
      <c r="L100" s="41">
        <f t="shared" si="12"/>
        <v>0</v>
      </c>
      <c r="M100" s="41" t="str">
        <f t="shared" si="13"/>
        <v/>
      </c>
      <c r="N100" s="42">
        <v>1</v>
      </c>
      <c r="O100" s="38"/>
      <c r="P100" s="38" t="str">
        <f t="shared" si="14"/>
        <v/>
      </c>
      <c r="Q100" s="40" t="str">
        <f t="shared" ca="1" si="15"/>
        <v/>
      </c>
    </row>
    <row r="101" spans="3:17" x14ac:dyDescent="0.25">
      <c r="C101" s="38"/>
      <c r="D101" s="49"/>
      <c r="E101" s="40"/>
      <c r="F101" s="40"/>
      <c r="G101" s="40"/>
      <c r="H101" s="40">
        <f t="shared" ref="H101:H132" si="16">COUNTA(E101:G101)</f>
        <v>0</v>
      </c>
      <c r="I101" s="41"/>
      <c r="J101" s="41"/>
      <c r="K101" s="41"/>
      <c r="L101" s="41">
        <f t="shared" ref="L101:L132" si="17">I101/N101</f>
        <v>0</v>
      </c>
      <c r="M101" s="41" t="str">
        <f t="shared" ref="M101:M132" si="18">IFERROR(L101/H101,"")</f>
        <v/>
      </c>
      <c r="N101" s="42">
        <v>1</v>
      </c>
      <c r="O101" s="38"/>
      <c r="P101" s="38" t="str">
        <f t="shared" ref="P101:P132" si="19">IF(N101&lt;&gt;1,EDATE(O101,N101-1),"")</f>
        <v/>
      </c>
      <c r="Q101" s="40" t="str">
        <f t="shared" ca="1" si="15"/>
        <v/>
      </c>
    </row>
    <row r="102" spans="3:17" x14ac:dyDescent="0.25">
      <c r="C102" s="38"/>
      <c r="D102" s="49"/>
      <c r="E102" s="40"/>
      <c r="F102" s="40"/>
      <c r="G102" s="40"/>
      <c r="H102" s="40">
        <f t="shared" si="16"/>
        <v>0</v>
      </c>
      <c r="I102" s="41"/>
      <c r="J102" s="41"/>
      <c r="K102" s="41"/>
      <c r="L102" s="41">
        <f t="shared" si="17"/>
        <v>0</v>
      </c>
      <c r="M102" s="41" t="str">
        <f t="shared" si="18"/>
        <v/>
      </c>
      <c r="N102" s="42">
        <v>1</v>
      </c>
      <c r="O102" s="38"/>
      <c r="P102" s="38" t="str">
        <f t="shared" si="19"/>
        <v/>
      </c>
      <c r="Q102" s="40" t="str">
        <f t="shared" ca="1" si="15"/>
        <v/>
      </c>
    </row>
    <row r="103" spans="3:17" x14ac:dyDescent="0.25">
      <c r="C103" s="38"/>
      <c r="D103" s="49"/>
      <c r="E103" s="40"/>
      <c r="F103" s="40"/>
      <c r="G103" s="40"/>
      <c r="H103" s="40">
        <f t="shared" si="16"/>
        <v>0</v>
      </c>
      <c r="I103" s="41"/>
      <c r="J103" s="41"/>
      <c r="K103" s="41"/>
      <c r="L103" s="41">
        <f t="shared" si="17"/>
        <v>0</v>
      </c>
      <c r="M103" s="41" t="str">
        <f t="shared" si="18"/>
        <v/>
      </c>
      <c r="N103" s="42">
        <v>1</v>
      </c>
      <c r="O103" s="38"/>
      <c r="P103" s="38" t="str">
        <f t="shared" si="19"/>
        <v/>
      </c>
      <c r="Q103" s="40" t="str">
        <f t="shared" ca="1" si="15"/>
        <v/>
      </c>
    </row>
    <row r="104" spans="3:17" x14ac:dyDescent="0.25">
      <c r="C104" s="38"/>
      <c r="D104" s="49"/>
      <c r="E104" s="40"/>
      <c r="F104" s="40"/>
      <c r="G104" s="40"/>
      <c r="H104" s="40">
        <f t="shared" si="16"/>
        <v>0</v>
      </c>
      <c r="I104" s="41"/>
      <c r="J104" s="41"/>
      <c r="K104" s="41"/>
      <c r="L104" s="41">
        <f t="shared" si="17"/>
        <v>0</v>
      </c>
      <c r="M104" s="41" t="str">
        <f t="shared" si="18"/>
        <v/>
      </c>
      <c r="N104" s="42">
        <v>1</v>
      </c>
      <c r="O104" s="38"/>
      <c r="P104" s="38" t="str">
        <f t="shared" si="19"/>
        <v/>
      </c>
      <c r="Q104" s="40" t="str">
        <f t="shared" ca="1" si="15"/>
        <v/>
      </c>
    </row>
    <row r="105" spans="3:17" x14ac:dyDescent="0.25">
      <c r="C105" s="38"/>
      <c r="D105" s="49"/>
      <c r="E105" s="40"/>
      <c r="F105" s="40"/>
      <c r="G105" s="40"/>
      <c r="H105" s="40">
        <f t="shared" si="16"/>
        <v>0</v>
      </c>
      <c r="I105" s="41"/>
      <c r="J105" s="41"/>
      <c r="K105" s="41"/>
      <c r="L105" s="41">
        <f t="shared" si="17"/>
        <v>0</v>
      </c>
      <c r="M105" s="41" t="str">
        <f t="shared" si="18"/>
        <v/>
      </c>
      <c r="N105" s="42">
        <v>1</v>
      </c>
      <c r="O105" s="38"/>
      <c r="P105" s="38" t="str">
        <f t="shared" si="19"/>
        <v/>
      </c>
      <c r="Q105" s="40" t="str">
        <f t="shared" ca="1" si="15"/>
        <v/>
      </c>
    </row>
    <row r="106" spans="3:17" x14ac:dyDescent="0.25">
      <c r="C106" s="38"/>
      <c r="D106" s="49"/>
      <c r="E106" s="40"/>
      <c r="F106" s="40"/>
      <c r="G106" s="40"/>
      <c r="H106" s="40">
        <f t="shared" si="16"/>
        <v>0</v>
      </c>
      <c r="I106" s="41"/>
      <c r="J106" s="41"/>
      <c r="K106" s="41"/>
      <c r="L106" s="41">
        <f t="shared" si="17"/>
        <v>0</v>
      </c>
      <c r="M106" s="41" t="str">
        <f t="shared" si="18"/>
        <v/>
      </c>
      <c r="N106" s="42">
        <v>1</v>
      </c>
      <c r="O106" s="38"/>
      <c r="P106" s="38" t="str">
        <f t="shared" si="19"/>
        <v/>
      </c>
      <c r="Q106" s="40" t="str">
        <f t="shared" ref="Q106:Q137" ca="1" si="20">IF(O106&lt;&gt;"",IFERROR(DATEDIF(O106,TODAY(),"m")+1,""),"")</f>
        <v/>
      </c>
    </row>
    <row r="107" spans="3:17" x14ac:dyDescent="0.25">
      <c r="C107" s="38"/>
      <c r="D107" s="49"/>
      <c r="E107" s="40"/>
      <c r="F107" s="40"/>
      <c r="G107" s="40"/>
      <c r="H107" s="40">
        <f t="shared" si="16"/>
        <v>0</v>
      </c>
      <c r="I107" s="41"/>
      <c r="J107" s="41"/>
      <c r="K107" s="41"/>
      <c r="L107" s="41">
        <f t="shared" si="17"/>
        <v>0</v>
      </c>
      <c r="M107" s="41" t="str">
        <f t="shared" si="18"/>
        <v/>
      </c>
      <c r="N107" s="42">
        <v>1</v>
      </c>
      <c r="O107" s="38"/>
      <c r="P107" s="38" t="str">
        <f t="shared" si="19"/>
        <v/>
      </c>
      <c r="Q107" s="40" t="str">
        <f t="shared" ca="1" si="20"/>
        <v/>
      </c>
    </row>
    <row r="108" spans="3:17" x14ac:dyDescent="0.25">
      <c r="C108" s="38"/>
      <c r="D108" s="49"/>
      <c r="E108" s="40"/>
      <c r="F108" s="40"/>
      <c r="G108" s="40"/>
      <c r="H108" s="40">
        <f t="shared" si="16"/>
        <v>0</v>
      </c>
      <c r="I108" s="41"/>
      <c r="J108" s="41"/>
      <c r="K108" s="41"/>
      <c r="L108" s="41">
        <f t="shared" si="17"/>
        <v>0</v>
      </c>
      <c r="M108" s="41" t="str">
        <f t="shared" si="18"/>
        <v/>
      </c>
      <c r="N108" s="42">
        <v>1</v>
      </c>
      <c r="O108" s="38"/>
      <c r="P108" s="38" t="str">
        <f t="shared" si="19"/>
        <v/>
      </c>
      <c r="Q108" s="40" t="str">
        <f t="shared" ca="1" si="20"/>
        <v/>
      </c>
    </row>
    <row r="109" spans="3:17" x14ac:dyDescent="0.25">
      <c r="C109" s="38"/>
      <c r="D109" s="49"/>
      <c r="E109" s="40"/>
      <c r="F109" s="40"/>
      <c r="G109" s="40"/>
      <c r="H109" s="40">
        <f t="shared" si="16"/>
        <v>0</v>
      </c>
      <c r="I109" s="41"/>
      <c r="J109" s="41"/>
      <c r="K109" s="41"/>
      <c r="L109" s="41">
        <f t="shared" si="17"/>
        <v>0</v>
      </c>
      <c r="M109" s="41" t="str">
        <f t="shared" si="18"/>
        <v/>
      </c>
      <c r="N109" s="42">
        <v>1</v>
      </c>
      <c r="O109" s="38"/>
      <c r="P109" s="38" t="str">
        <f t="shared" si="19"/>
        <v/>
      </c>
      <c r="Q109" s="40" t="str">
        <f t="shared" ca="1" si="20"/>
        <v/>
      </c>
    </row>
    <row r="110" spans="3:17" x14ac:dyDescent="0.25">
      <c r="C110" s="38"/>
      <c r="D110" s="49"/>
      <c r="E110" s="40"/>
      <c r="F110" s="40"/>
      <c r="G110" s="40"/>
      <c r="H110" s="40">
        <f t="shared" si="16"/>
        <v>0</v>
      </c>
      <c r="I110" s="41"/>
      <c r="J110" s="41"/>
      <c r="K110" s="41"/>
      <c r="L110" s="41">
        <f t="shared" si="17"/>
        <v>0</v>
      </c>
      <c r="M110" s="41" t="str">
        <f t="shared" si="18"/>
        <v/>
      </c>
      <c r="N110" s="42">
        <v>1</v>
      </c>
      <c r="O110" s="38"/>
      <c r="P110" s="38" t="str">
        <f t="shared" si="19"/>
        <v/>
      </c>
      <c r="Q110" s="40" t="str">
        <f t="shared" ca="1" si="20"/>
        <v/>
      </c>
    </row>
    <row r="111" spans="3:17" x14ac:dyDescent="0.25">
      <c r="C111" s="38"/>
      <c r="D111" s="49"/>
      <c r="E111" s="40"/>
      <c r="F111" s="40"/>
      <c r="G111" s="40"/>
      <c r="H111" s="40">
        <f t="shared" si="16"/>
        <v>0</v>
      </c>
      <c r="I111" s="41"/>
      <c r="J111" s="41"/>
      <c r="K111" s="41"/>
      <c r="L111" s="41">
        <f t="shared" si="17"/>
        <v>0</v>
      </c>
      <c r="M111" s="41" t="str">
        <f t="shared" si="18"/>
        <v/>
      </c>
      <c r="N111" s="42">
        <v>1</v>
      </c>
      <c r="O111" s="38"/>
      <c r="P111" s="38" t="str">
        <f t="shared" si="19"/>
        <v/>
      </c>
      <c r="Q111" s="40" t="str">
        <f t="shared" ca="1" si="20"/>
        <v/>
      </c>
    </row>
    <row r="112" spans="3:17" x14ac:dyDescent="0.25">
      <c r="C112" s="38"/>
      <c r="D112" s="49"/>
      <c r="E112" s="40"/>
      <c r="F112" s="40"/>
      <c r="G112" s="40"/>
      <c r="H112" s="40">
        <f t="shared" si="16"/>
        <v>0</v>
      </c>
      <c r="I112" s="41"/>
      <c r="J112" s="41"/>
      <c r="K112" s="41"/>
      <c r="L112" s="41">
        <f t="shared" si="17"/>
        <v>0</v>
      </c>
      <c r="M112" s="41" t="str">
        <f t="shared" si="18"/>
        <v/>
      </c>
      <c r="N112" s="42">
        <v>1</v>
      </c>
      <c r="O112" s="38"/>
      <c r="P112" s="38" t="str">
        <f t="shared" si="19"/>
        <v/>
      </c>
      <c r="Q112" s="40" t="str">
        <f t="shared" ca="1" si="20"/>
        <v/>
      </c>
    </row>
    <row r="113" spans="3:17" x14ac:dyDescent="0.25">
      <c r="C113" s="38"/>
      <c r="D113" s="49"/>
      <c r="E113" s="40"/>
      <c r="F113" s="40"/>
      <c r="G113" s="40"/>
      <c r="H113" s="40">
        <f t="shared" si="16"/>
        <v>0</v>
      </c>
      <c r="I113" s="41"/>
      <c r="J113" s="41"/>
      <c r="K113" s="41"/>
      <c r="L113" s="41">
        <f t="shared" si="17"/>
        <v>0</v>
      </c>
      <c r="M113" s="41" t="str">
        <f t="shared" si="18"/>
        <v/>
      </c>
      <c r="N113" s="42">
        <v>1</v>
      </c>
      <c r="O113" s="38"/>
      <c r="P113" s="38" t="str">
        <f t="shared" si="19"/>
        <v/>
      </c>
      <c r="Q113" s="40" t="str">
        <f t="shared" ca="1" si="20"/>
        <v/>
      </c>
    </row>
    <row r="114" spans="3:17" x14ac:dyDescent="0.25">
      <c r="C114" s="38"/>
      <c r="D114" s="49"/>
      <c r="E114" s="40"/>
      <c r="F114" s="40"/>
      <c r="G114" s="40"/>
      <c r="H114" s="40">
        <f t="shared" si="16"/>
        <v>0</v>
      </c>
      <c r="I114" s="41"/>
      <c r="J114" s="41"/>
      <c r="K114" s="41"/>
      <c r="L114" s="41">
        <f t="shared" si="17"/>
        <v>0</v>
      </c>
      <c r="M114" s="41" t="str">
        <f t="shared" si="18"/>
        <v/>
      </c>
      <c r="N114" s="42">
        <v>1</v>
      </c>
      <c r="O114" s="38"/>
      <c r="P114" s="38" t="str">
        <f t="shared" si="19"/>
        <v/>
      </c>
      <c r="Q114" s="40" t="str">
        <f t="shared" ca="1" si="20"/>
        <v/>
      </c>
    </row>
    <row r="115" spans="3:17" x14ac:dyDescent="0.25">
      <c r="C115" s="38"/>
      <c r="D115" s="49"/>
      <c r="E115" s="40"/>
      <c r="F115" s="40"/>
      <c r="G115" s="40"/>
      <c r="H115" s="40">
        <f t="shared" si="16"/>
        <v>0</v>
      </c>
      <c r="I115" s="41"/>
      <c r="J115" s="41"/>
      <c r="K115" s="41"/>
      <c r="L115" s="41">
        <f t="shared" si="17"/>
        <v>0</v>
      </c>
      <c r="M115" s="41" t="str">
        <f t="shared" si="18"/>
        <v/>
      </c>
      <c r="N115" s="42">
        <v>1</v>
      </c>
      <c r="O115" s="38"/>
      <c r="P115" s="38" t="str">
        <f t="shared" si="19"/>
        <v/>
      </c>
      <c r="Q115" s="40" t="str">
        <f t="shared" ca="1" si="20"/>
        <v/>
      </c>
    </row>
    <row r="116" spans="3:17" x14ac:dyDescent="0.25">
      <c r="C116" s="38"/>
      <c r="D116" s="49"/>
      <c r="E116" s="40"/>
      <c r="F116" s="40"/>
      <c r="G116" s="40"/>
      <c r="H116" s="40">
        <f t="shared" si="16"/>
        <v>0</v>
      </c>
      <c r="I116" s="41"/>
      <c r="J116" s="41"/>
      <c r="K116" s="41"/>
      <c r="L116" s="41">
        <f t="shared" si="17"/>
        <v>0</v>
      </c>
      <c r="M116" s="41" t="str">
        <f t="shared" si="18"/>
        <v/>
      </c>
      <c r="N116" s="42">
        <v>1</v>
      </c>
      <c r="O116" s="38"/>
      <c r="P116" s="38" t="str">
        <f t="shared" si="19"/>
        <v/>
      </c>
      <c r="Q116" s="40" t="str">
        <f t="shared" ca="1" si="20"/>
        <v/>
      </c>
    </row>
    <row r="117" spans="3:17" x14ac:dyDescent="0.25">
      <c r="C117" s="38"/>
      <c r="D117" s="49"/>
      <c r="E117" s="40"/>
      <c r="F117" s="40"/>
      <c r="G117" s="40"/>
      <c r="H117" s="40">
        <f t="shared" si="16"/>
        <v>0</v>
      </c>
      <c r="I117" s="41"/>
      <c r="J117" s="41"/>
      <c r="K117" s="41"/>
      <c r="L117" s="41">
        <f t="shared" si="17"/>
        <v>0</v>
      </c>
      <c r="M117" s="41" t="str">
        <f t="shared" si="18"/>
        <v/>
      </c>
      <c r="N117" s="42">
        <v>1</v>
      </c>
      <c r="O117" s="38"/>
      <c r="P117" s="38" t="str">
        <f t="shared" si="19"/>
        <v/>
      </c>
      <c r="Q117" s="40" t="str">
        <f t="shared" ca="1" si="20"/>
        <v/>
      </c>
    </row>
    <row r="118" spans="3:17" x14ac:dyDescent="0.25">
      <c r="C118" s="38"/>
      <c r="D118" s="49"/>
      <c r="E118" s="40"/>
      <c r="F118" s="40"/>
      <c r="G118" s="40"/>
      <c r="H118" s="40">
        <f t="shared" si="16"/>
        <v>0</v>
      </c>
      <c r="I118" s="41"/>
      <c r="J118" s="41"/>
      <c r="K118" s="41"/>
      <c r="L118" s="41">
        <f t="shared" si="17"/>
        <v>0</v>
      </c>
      <c r="M118" s="41" t="str">
        <f t="shared" si="18"/>
        <v/>
      </c>
      <c r="N118" s="42">
        <v>1</v>
      </c>
      <c r="O118" s="38"/>
      <c r="P118" s="38" t="str">
        <f t="shared" si="19"/>
        <v/>
      </c>
      <c r="Q118" s="40" t="str">
        <f t="shared" ca="1" si="20"/>
        <v/>
      </c>
    </row>
    <row r="119" spans="3:17" x14ac:dyDescent="0.25">
      <c r="C119" s="38"/>
      <c r="D119" s="49"/>
      <c r="E119" s="40"/>
      <c r="F119" s="40"/>
      <c r="G119" s="40"/>
      <c r="H119" s="40">
        <f t="shared" si="16"/>
        <v>0</v>
      </c>
      <c r="I119" s="41"/>
      <c r="J119" s="41"/>
      <c r="K119" s="41"/>
      <c r="L119" s="41">
        <f t="shared" si="17"/>
        <v>0</v>
      </c>
      <c r="M119" s="41" t="str">
        <f t="shared" si="18"/>
        <v/>
      </c>
      <c r="N119" s="42">
        <v>1</v>
      </c>
      <c r="O119" s="38"/>
      <c r="P119" s="38" t="str">
        <f t="shared" si="19"/>
        <v/>
      </c>
      <c r="Q119" s="40" t="str">
        <f t="shared" ca="1" si="20"/>
        <v/>
      </c>
    </row>
    <row r="120" spans="3:17" x14ac:dyDescent="0.25">
      <c r="C120" s="38"/>
      <c r="D120" s="49"/>
      <c r="E120" s="40"/>
      <c r="F120" s="40"/>
      <c r="G120" s="40"/>
      <c r="H120" s="40">
        <f t="shared" si="16"/>
        <v>0</v>
      </c>
      <c r="I120" s="41"/>
      <c r="J120" s="41"/>
      <c r="K120" s="41"/>
      <c r="L120" s="41">
        <f t="shared" si="17"/>
        <v>0</v>
      </c>
      <c r="M120" s="41" t="str">
        <f t="shared" si="18"/>
        <v/>
      </c>
      <c r="N120" s="42">
        <v>1</v>
      </c>
      <c r="O120" s="38"/>
      <c r="P120" s="38" t="str">
        <f t="shared" si="19"/>
        <v/>
      </c>
      <c r="Q120" s="40" t="str">
        <f t="shared" ca="1" si="20"/>
        <v/>
      </c>
    </row>
    <row r="121" spans="3:17" x14ac:dyDescent="0.25">
      <c r="C121" s="38"/>
      <c r="D121" s="49"/>
      <c r="E121" s="40"/>
      <c r="F121" s="40"/>
      <c r="G121" s="40"/>
      <c r="H121" s="40">
        <f t="shared" si="16"/>
        <v>0</v>
      </c>
      <c r="I121" s="41"/>
      <c r="J121" s="41"/>
      <c r="K121" s="41"/>
      <c r="L121" s="41">
        <f t="shared" si="17"/>
        <v>0</v>
      </c>
      <c r="M121" s="41" t="str">
        <f t="shared" si="18"/>
        <v/>
      </c>
      <c r="N121" s="42">
        <v>1</v>
      </c>
      <c r="O121" s="38"/>
      <c r="P121" s="38" t="str">
        <f t="shared" si="19"/>
        <v/>
      </c>
      <c r="Q121" s="40" t="str">
        <f t="shared" ca="1" si="20"/>
        <v/>
      </c>
    </row>
    <row r="122" spans="3:17" x14ac:dyDescent="0.25">
      <c r="C122" s="38"/>
      <c r="D122" s="49"/>
      <c r="E122" s="40"/>
      <c r="F122" s="40"/>
      <c r="G122" s="40"/>
      <c r="H122" s="40">
        <f t="shared" si="16"/>
        <v>0</v>
      </c>
      <c r="I122" s="41"/>
      <c r="J122" s="41"/>
      <c r="K122" s="41"/>
      <c r="L122" s="41">
        <f t="shared" si="17"/>
        <v>0</v>
      </c>
      <c r="M122" s="41" t="str">
        <f t="shared" si="18"/>
        <v/>
      </c>
      <c r="N122" s="42">
        <v>1</v>
      </c>
      <c r="O122" s="38"/>
      <c r="P122" s="38" t="str">
        <f t="shared" si="19"/>
        <v/>
      </c>
      <c r="Q122" s="40" t="str">
        <f t="shared" ca="1" si="20"/>
        <v/>
      </c>
    </row>
    <row r="123" spans="3:17" x14ac:dyDescent="0.25">
      <c r="C123" s="38"/>
      <c r="D123" s="49"/>
      <c r="E123" s="40"/>
      <c r="F123" s="40"/>
      <c r="G123" s="40"/>
      <c r="H123" s="40">
        <f t="shared" si="16"/>
        <v>0</v>
      </c>
      <c r="I123" s="41"/>
      <c r="J123" s="41"/>
      <c r="K123" s="41"/>
      <c r="L123" s="41">
        <f t="shared" si="17"/>
        <v>0</v>
      </c>
      <c r="M123" s="41" t="str">
        <f t="shared" si="18"/>
        <v/>
      </c>
      <c r="N123" s="42">
        <v>1</v>
      </c>
      <c r="O123" s="38"/>
      <c r="P123" s="38" t="str">
        <f t="shared" si="19"/>
        <v/>
      </c>
      <c r="Q123" s="40" t="str">
        <f t="shared" ca="1" si="20"/>
        <v/>
      </c>
    </row>
    <row r="124" spans="3:17" x14ac:dyDescent="0.25">
      <c r="C124" s="38"/>
      <c r="D124" s="49"/>
      <c r="E124" s="40"/>
      <c r="F124" s="40"/>
      <c r="G124" s="40"/>
      <c r="H124" s="40">
        <f t="shared" si="16"/>
        <v>0</v>
      </c>
      <c r="I124" s="41"/>
      <c r="J124" s="41"/>
      <c r="K124" s="41"/>
      <c r="L124" s="41">
        <f t="shared" si="17"/>
        <v>0</v>
      </c>
      <c r="M124" s="41" t="str">
        <f t="shared" si="18"/>
        <v/>
      </c>
      <c r="N124" s="42">
        <v>1</v>
      </c>
      <c r="O124" s="38"/>
      <c r="P124" s="38" t="str">
        <f t="shared" si="19"/>
        <v/>
      </c>
      <c r="Q124" s="40" t="str">
        <f t="shared" ca="1" si="20"/>
        <v/>
      </c>
    </row>
    <row r="125" spans="3:17" x14ac:dyDescent="0.25">
      <c r="C125" s="38"/>
      <c r="D125" s="49"/>
      <c r="E125" s="40"/>
      <c r="F125" s="40"/>
      <c r="G125" s="40"/>
      <c r="H125" s="40">
        <f t="shared" si="16"/>
        <v>0</v>
      </c>
      <c r="I125" s="41"/>
      <c r="J125" s="41"/>
      <c r="K125" s="41"/>
      <c r="L125" s="41">
        <f t="shared" si="17"/>
        <v>0</v>
      </c>
      <c r="M125" s="41" t="str">
        <f t="shared" si="18"/>
        <v/>
      </c>
      <c r="N125" s="42">
        <v>1</v>
      </c>
      <c r="O125" s="38"/>
      <c r="P125" s="38" t="str">
        <f t="shared" si="19"/>
        <v/>
      </c>
      <c r="Q125" s="40" t="str">
        <f t="shared" ca="1" si="20"/>
        <v/>
      </c>
    </row>
    <row r="126" spans="3:17" x14ac:dyDescent="0.25">
      <c r="C126" s="38"/>
      <c r="D126" s="49"/>
      <c r="E126" s="40"/>
      <c r="F126" s="40"/>
      <c r="G126" s="40"/>
      <c r="H126" s="40">
        <f t="shared" si="16"/>
        <v>0</v>
      </c>
      <c r="I126" s="41"/>
      <c r="J126" s="41"/>
      <c r="K126" s="41"/>
      <c r="L126" s="41">
        <f t="shared" si="17"/>
        <v>0</v>
      </c>
      <c r="M126" s="41" t="str">
        <f t="shared" si="18"/>
        <v/>
      </c>
      <c r="N126" s="42">
        <v>1</v>
      </c>
      <c r="O126" s="38"/>
      <c r="P126" s="38" t="str">
        <f t="shared" si="19"/>
        <v/>
      </c>
      <c r="Q126" s="40" t="str">
        <f t="shared" ca="1" si="20"/>
        <v/>
      </c>
    </row>
    <row r="127" spans="3:17" x14ac:dyDescent="0.25">
      <c r="C127" s="38"/>
      <c r="D127" s="49"/>
      <c r="E127" s="40"/>
      <c r="F127" s="40"/>
      <c r="G127" s="40"/>
      <c r="H127" s="40">
        <f t="shared" si="16"/>
        <v>0</v>
      </c>
      <c r="I127" s="41"/>
      <c r="J127" s="41"/>
      <c r="K127" s="41"/>
      <c r="L127" s="41">
        <f t="shared" si="17"/>
        <v>0</v>
      </c>
      <c r="M127" s="41" t="str">
        <f t="shared" si="18"/>
        <v/>
      </c>
      <c r="N127" s="42">
        <v>1</v>
      </c>
      <c r="O127" s="38"/>
      <c r="P127" s="38" t="str">
        <f t="shared" si="19"/>
        <v/>
      </c>
      <c r="Q127" s="40" t="str">
        <f t="shared" ca="1" si="20"/>
        <v/>
      </c>
    </row>
    <row r="128" spans="3:17" x14ac:dyDescent="0.25">
      <c r="C128" s="38"/>
      <c r="D128" s="49"/>
      <c r="E128" s="40"/>
      <c r="F128" s="40"/>
      <c r="G128" s="40"/>
      <c r="H128" s="40">
        <f t="shared" si="16"/>
        <v>0</v>
      </c>
      <c r="I128" s="41"/>
      <c r="J128" s="41"/>
      <c r="K128" s="41"/>
      <c r="L128" s="41">
        <f t="shared" si="17"/>
        <v>0</v>
      </c>
      <c r="M128" s="41" t="str">
        <f t="shared" si="18"/>
        <v/>
      </c>
      <c r="N128" s="42">
        <v>1</v>
      </c>
      <c r="O128" s="38"/>
      <c r="P128" s="38" t="str">
        <f t="shared" si="19"/>
        <v/>
      </c>
      <c r="Q128" s="40" t="str">
        <f t="shared" ca="1" si="20"/>
        <v/>
      </c>
    </row>
    <row r="129" spans="3:17" x14ac:dyDescent="0.25">
      <c r="C129" s="38"/>
      <c r="D129" s="49"/>
      <c r="E129" s="40"/>
      <c r="F129" s="40"/>
      <c r="G129" s="40"/>
      <c r="H129" s="40">
        <f t="shared" si="16"/>
        <v>0</v>
      </c>
      <c r="I129" s="41"/>
      <c r="J129" s="41"/>
      <c r="K129" s="41"/>
      <c r="L129" s="41">
        <f t="shared" si="17"/>
        <v>0</v>
      </c>
      <c r="M129" s="41" t="str">
        <f t="shared" si="18"/>
        <v/>
      </c>
      <c r="N129" s="42">
        <v>1</v>
      </c>
      <c r="O129" s="38"/>
      <c r="P129" s="38" t="str">
        <f t="shared" si="19"/>
        <v/>
      </c>
      <c r="Q129" s="40" t="str">
        <f t="shared" ca="1" si="20"/>
        <v/>
      </c>
    </row>
    <row r="130" spans="3:17" x14ac:dyDescent="0.25">
      <c r="C130" s="38"/>
      <c r="D130" s="49"/>
      <c r="E130" s="40"/>
      <c r="F130" s="40"/>
      <c r="G130" s="40"/>
      <c r="H130" s="40">
        <f t="shared" si="16"/>
        <v>0</v>
      </c>
      <c r="I130" s="41"/>
      <c r="J130" s="41"/>
      <c r="K130" s="41"/>
      <c r="L130" s="41">
        <f t="shared" si="17"/>
        <v>0</v>
      </c>
      <c r="M130" s="41" t="str">
        <f t="shared" si="18"/>
        <v/>
      </c>
      <c r="N130" s="42">
        <v>1</v>
      </c>
      <c r="O130" s="38"/>
      <c r="P130" s="38" t="str">
        <f t="shared" si="19"/>
        <v/>
      </c>
      <c r="Q130" s="40" t="str">
        <f t="shared" ca="1" si="20"/>
        <v/>
      </c>
    </row>
    <row r="131" spans="3:17" x14ac:dyDescent="0.25">
      <c r="C131" s="38"/>
      <c r="D131" s="49"/>
      <c r="E131" s="40"/>
      <c r="F131" s="40"/>
      <c r="G131" s="40"/>
      <c r="H131" s="40">
        <f t="shared" si="16"/>
        <v>0</v>
      </c>
      <c r="I131" s="41"/>
      <c r="J131" s="41"/>
      <c r="K131" s="41"/>
      <c r="L131" s="41">
        <f t="shared" si="17"/>
        <v>0</v>
      </c>
      <c r="M131" s="41" t="str">
        <f t="shared" si="18"/>
        <v/>
      </c>
      <c r="N131" s="42">
        <v>1</v>
      </c>
      <c r="O131" s="38"/>
      <c r="P131" s="38" t="str">
        <f t="shared" si="19"/>
        <v/>
      </c>
      <c r="Q131" s="40" t="str">
        <f t="shared" ca="1" si="20"/>
        <v/>
      </c>
    </row>
    <row r="132" spans="3:17" x14ac:dyDescent="0.25">
      <c r="C132" s="38"/>
      <c r="D132" s="49"/>
      <c r="E132" s="40"/>
      <c r="F132" s="40"/>
      <c r="G132" s="40"/>
      <c r="H132" s="40">
        <f t="shared" si="16"/>
        <v>0</v>
      </c>
      <c r="I132" s="41"/>
      <c r="J132" s="41"/>
      <c r="K132" s="41"/>
      <c r="L132" s="41">
        <f t="shared" si="17"/>
        <v>0</v>
      </c>
      <c r="M132" s="41" t="str">
        <f t="shared" si="18"/>
        <v/>
      </c>
      <c r="N132" s="42">
        <v>1</v>
      </c>
      <c r="O132" s="38"/>
      <c r="P132" s="38" t="str">
        <f t="shared" si="19"/>
        <v/>
      </c>
      <c r="Q132" s="40" t="str">
        <f t="shared" ca="1" si="20"/>
        <v/>
      </c>
    </row>
    <row r="133" spans="3:17" x14ac:dyDescent="0.25">
      <c r="C133" s="38"/>
      <c r="D133" s="49"/>
      <c r="E133" s="40"/>
      <c r="F133" s="40"/>
      <c r="G133" s="40"/>
      <c r="H133" s="40">
        <f t="shared" ref="H133:H149" si="21">COUNTA(E133:G133)</f>
        <v>0</v>
      </c>
      <c r="I133" s="41"/>
      <c r="J133" s="41"/>
      <c r="K133" s="41"/>
      <c r="L133" s="41">
        <f t="shared" ref="L133:L149" si="22">I133/N133</f>
        <v>0</v>
      </c>
      <c r="M133" s="41" t="str">
        <f t="shared" ref="M133:M149" si="23">IFERROR(L133/H133,"")</f>
        <v/>
      </c>
      <c r="N133" s="42">
        <v>1</v>
      </c>
      <c r="O133" s="38"/>
      <c r="P133" s="38" t="str">
        <f t="shared" ref="P133:P149" si="24">IF(N133&lt;&gt;1,EDATE(O133,N133-1),"")</f>
        <v/>
      </c>
      <c r="Q133" s="40" t="str">
        <f t="shared" ca="1" si="20"/>
        <v/>
      </c>
    </row>
    <row r="134" spans="3:17" x14ac:dyDescent="0.25">
      <c r="C134" s="38"/>
      <c r="D134" s="49"/>
      <c r="E134" s="40"/>
      <c r="F134" s="40"/>
      <c r="G134" s="40"/>
      <c r="H134" s="40">
        <f t="shared" si="21"/>
        <v>0</v>
      </c>
      <c r="I134" s="41"/>
      <c r="J134" s="41"/>
      <c r="K134" s="41"/>
      <c r="L134" s="41">
        <f t="shared" si="22"/>
        <v>0</v>
      </c>
      <c r="M134" s="41" t="str">
        <f t="shared" si="23"/>
        <v/>
      </c>
      <c r="N134" s="42">
        <v>1</v>
      </c>
      <c r="O134" s="38"/>
      <c r="P134" s="38" t="str">
        <f t="shared" si="24"/>
        <v/>
      </c>
      <c r="Q134" s="40" t="str">
        <f t="shared" ca="1" si="20"/>
        <v/>
      </c>
    </row>
    <row r="135" spans="3:17" x14ac:dyDescent="0.25">
      <c r="C135" s="38"/>
      <c r="D135" s="49"/>
      <c r="E135" s="40"/>
      <c r="F135" s="40"/>
      <c r="G135" s="40"/>
      <c r="H135" s="40">
        <f t="shared" si="21"/>
        <v>0</v>
      </c>
      <c r="I135" s="41"/>
      <c r="J135" s="41"/>
      <c r="K135" s="41"/>
      <c r="L135" s="41">
        <f t="shared" si="22"/>
        <v>0</v>
      </c>
      <c r="M135" s="41" t="str">
        <f t="shared" si="23"/>
        <v/>
      </c>
      <c r="N135" s="42">
        <v>1</v>
      </c>
      <c r="O135" s="38"/>
      <c r="P135" s="38" t="str">
        <f t="shared" si="24"/>
        <v/>
      </c>
      <c r="Q135" s="40" t="str">
        <f t="shared" ca="1" si="20"/>
        <v/>
      </c>
    </row>
    <row r="136" spans="3:17" x14ac:dyDescent="0.25">
      <c r="C136" s="38"/>
      <c r="D136" s="49"/>
      <c r="E136" s="40"/>
      <c r="F136" s="40"/>
      <c r="G136" s="40"/>
      <c r="H136" s="40">
        <f t="shared" si="21"/>
        <v>0</v>
      </c>
      <c r="I136" s="41"/>
      <c r="J136" s="41"/>
      <c r="K136" s="41"/>
      <c r="L136" s="41">
        <f t="shared" si="22"/>
        <v>0</v>
      </c>
      <c r="M136" s="41" t="str">
        <f t="shared" si="23"/>
        <v/>
      </c>
      <c r="N136" s="42">
        <v>1</v>
      </c>
      <c r="O136" s="38"/>
      <c r="P136" s="38" t="str">
        <f t="shared" si="24"/>
        <v/>
      </c>
      <c r="Q136" s="40" t="str">
        <f t="shared" ca="1" si="20"/>
        <v/>
      </c>
    </row>
    <row r="137" spans="3:17" x14ac:dyDescent="0.25">
      <c r="C137" s="38"/>
      <c r="D137" s="49"/>
      <c r="E137" s="40"/>
      <c r="F137" s="40"/>
      <c r="G137" s="40"/>
      <c r="H137" s="40">
        <f t="shared" si="21"/>
        <v>0</v>
      </c>
      <c r="I137" s="41"/>
      <c r="J137" s="41"/>
      <c r="K137" s="41"/>
      <c r="L137" s="41">
        <f t="shared" si="22"/>
        <v>0</v>
      </c>
      <c r="M137" s="41" t="str">
        <f t="shared" si="23"/>
        <v/>
      </c>
      <c r="N137" s="42">
        <v>1</v>
      </c>
      <c r="O137" s="38"/>
      <c r="P137" s="38" t="str">
        <f t="shared" si="24"/>
        <v/>
      </c>
      <c r="Q137" s="40" t="str">
        <f t="shared" ca="1" si="20"/>
        <v/>
      </c>
    </row>
    <row r="138" spans="3:17" x14ac:dyDescent="0.25">
      <c r="C138" s="38"/>
      <c r="D138" s="49"/>
      <c r="E138" s="40"/>
      <c r="F138" s="40"/>
      <c r="G138" s="40"/>
      <c r="H138" s="40">
        <f t="shared" si="21"/>
        <v>0</v>
      </c>
      <c r="I138" s="41"/>
      <c r="J138" s="41"/>
      <c r="K138" s="41"/>
      <c r="L138" s="41">
        <f t="shared" si="22"/>
        <v>0</v>
      </c>
      <c r="M138" s="41" t="str">
        <f t="shared" si="23"/>
        <v/>
      </c>
      <c r="N138" s="42">
        <v>1</v>
      </c>
      <c r="O138" s="38"/>
      <c r="P138" s="38" t="str">
        <f t="shared" si="24"/>
        <v/>
      </c>
      <c r="Q138" s="40" t="str">
        <f t="shared" ref="Q138:Q149" ca="1" si="25">IF(O138&lt;&gt;"",IFERROR(DATEDIF(O138,TODAY(),"m")+1,""),"")</f>
        <v/>
      </c>
    </row>
    <row r="139" spans="3:17" x14ac:dyDescent="0.25">
      <c r="C139" s="38"/>
      <c r="D139" s="49"/>
      <c r="E139" s="40"/>
      <c r="F139" s="40"/>
      <c r="G139" s="40"/>
      <c r="H139" s="40">
        <f t="shared" si="21"/>
        <v>0</v>
      </c>
      <c r="I139" s="41"/>
      <c r="J139" s="41"/>
      <c r="K139" s="41"/>
      <c r="L139" s="41">
        <f t="shared" si="22"/>
        <v>0</v>
      </c>
      <c r="M139" s="41" t="str">
        <f t="shared" si="23"/>
        <v/>
      </c>
      <c r="N139" s="42">
        <v>1</v>
      </c>
      <c r="O139" s="38"/>
      <c r="P139" s="38" t="str">
        <f t="shared" si="24"/>
        <v/>
      </c>
      <c r="Q139" s="40" t="str">
        <f t="shared" ca="1" si="25"/>
        <v/>
      </c>
    </row>
    <row r="140" spans="3:17" x14ac:dyDescent="0.25">
      <c r="C140" s="38"/>
      <c r="D140" s="49"/>
      <c r="E140" s="40"/>
      <c r="F140" s="40"/>
      <c r="G140" s="40"/>
      <c r="H140" s="40">
        <f t="shared" si="21"/>
        <v>0</v>
      </c>
      <c r="I140" s="41"/>
      <c r="J140" s="41"/>
      <c r="K140" s="41"/>
      <c r="L140" s="41">
        <f t="shared" si="22"/>
        <v>0</v>
      </c>
      <c r="M140" s="41" t="str">
        <f t="shared" si="23"/>
        <v/>
      </c>
      <c r="N140" s="42">
        <v>1</v>
      </c>
      <c r="O140" s="38"/>
      <c r="P140" s="38" t="str">
        <f t="shared" si="24"/>
        <v/>
      </c>
      <c r="Q140" s="40" t="str">
        <f t="shared" ca="1" si="25"/>
        <v/>
      </c>
    </row>
    <row r="141" spans="3:17" x14ac:dyDescent="0.25">
      <c r="C141" s="38"/>
      <c r="D141" s="49"/>
      <c r="E141" s="40"/>
      <c r="F141" s="40"/>
      <c r="G141" s="40"/>
      <c r="H141" s="40">
        <f t="shared" si="21"/>
        <v>0</v>
      </c>
      <c r="I141" s="41"/>
      <c r="J141" s="41"/>
      <c r="K141" s="41"/>
      <c r="L141" s="41">
        <f t="shared" si="22"/>
        <v>0</v>
      </c>
      <c r="M141" s="41" t="str">
        <f t="shared" si="23"/>
        <v/>
      </c>
      <c r="N141" s="42">
        <v>1</v>
      </c>
      <c r="O141" s="38"/>
      <c r="P141" s="38" t="str">
        <f t="shared" si="24"/>
        <v/>
      </c>
      <c r="Q141" s="40" t="str">
        <f t="shared" ca="1" si="25"/>
        <v/>
      </c>
    </row>
    <row r="142" spans="3:17" x14ac:dyDescent="0.25">
      <c r="C142" s="38"/>
      <c r="D142" s="49"/>
      <c r="E142" s="40"/>
      <c r="F142" s="40"/>
      <c r="G142" s="40"/>
      <c r="H142" s="40">
        <f t="shared" si="21"/>
        <v>0</v>
      </c>
      <c r="I142" s="41"/>
      <c r="J142" s="41"/>
      <c r="K142" s="41"/>
      <c r="L142" s="41">
        <f t="shared" si="22"/>
        <v>0</v>
      </c>
      <c r="M142" s="41" t="str">
        <f t="shared" si="23"/>
        <v/>
      </c>
      <c r="N142" s="42">
        <v>1</v>
      </c>
      <c r="O142" s="38"/>
      <c r="P142" s="38" t="str">
        <f t="shared" si="24"/>
        <v/>
      </c>
      <c r="Q142" s="40" t="str">
        <f t="shared" ca="1" si="25"/>
        <v/>
      </c>
    </row>
    <row r="143" spans="3:17" x14ac:dyDescent="0.25">
      <c r="C143" s="38"/>
      <c r="D143" s="49"/>
      <c r="E143" s="40"/>
      <c r="F143" s="40"/>
      <c r="G143" s="40"/>
      <c r="H143" s="40">
        <f t="shared" si="21"/>
        <v>0</v>
      </c>
      <c r="I143" s="41"/>
      <c r="J143" s="41"/>
      <c r="K143" s="41"/>
      <c r="L143" s="41">
        <f t="shared" si="22"/>
        <v>0</v>
      </c>
      <c r="M143" s="41" t="str">
        <f t="shared" si="23"/>
        <v/>
      </c>
      <c r="N143" s="42">
        <v>1</v>
      </c>
      <c r="O143" s="38"/>
      <c r="P143" s="38" t="str">
        <f t="shared" si="24"/>
        <v/>
      </c>
      <c r="Q143" s="40" t="str">
        <f t="shared" ca="1" si="25"/>
        <v/>
      </c>
    </row>
    <row r="144" spans="3:17" x14ac:dyDescent="0.25">
      <c r="C144" s="38"/>
      <c r="D144" s="49"/>
      <c r="E144" s="40"/>
      <c r="F144" s="40"/>
      <c r="G144" s="40"/>
      <c r="H144" s="40">
        <f t="shared" si="21"/>
        <v>0</v>
      </c>
      <c r="I144" s="41"/>
      <c r="J144" s="41"/>
      <c r="K144" s="41"/>
      <c r="L144" s="41">
        <f t="shared" si="22"/>
        <v>0</v>
      </c>
      <c r="M144" s="41" t="str">
        <f t="shared" si="23"/>
        <v/>
      </c>
      <c r="N144" s="42">
        <v>1</v>
      </c>
      <c r="O144" s="38"/>
      <c r="P144" s="38" t="str">
        <f t="shared" si="24"/>
        <v/>
      </c>
      <c r="Q144" s="40" t="str">
        <f t="shared" ca="1" si="25"/>
        <v/>
      </c>
    </row>
    <row r="145" spans="3:17" x14ac:dyDescent="0.25">
      <c r="C145" s="38"/>
      <c r="D145" s="49"/>
      <c r="E145" s="40"/>
      <c r="F145" s="40"/>
      <c r="G145" s="40"/>
      <c r="H145" s="40">
        <f t="shared" si="21"/>
        <v>0</v>
      </c>
      <c r="I145" s="41"/>
      <c r="J145" s="41"/>
      <c r="K145" s="41"/>
      <c r="L145" s="41">
        <f t="shared" si="22"/>
        <v>0</v>
      </c>
      <c r="M145" s="41" t="str">
        <f t="shared" si="23"/>
        <v/>
      </c>
      <c r="N145" s="42">
        <v>1</v>
      </c>
      <c r="O145" s="38"/>
      <c r="P145" s="38" t="str">
        <f t="shared" si="24"/>
        <v/>
      </c>
      <c r="Q145" s="40" t="str">
        <f t="shared" ca="1" si="25"/>
        <v/>
      </c>
    </row>
    <row r="146" spans="3:17" x14ac:dyDescent="0.25">
      <c r="C146" s="38"/>
      <c r="D146" s="49"/>
      <c r="E146" s="40"/>
      <c r="F146" s="40"/>
      <c r="G146" s="40"/>
      <c r="H146" s="40">
        <f t="shared" si="21"/>
        <v>0</v>
      </c>
      <c r="I146" s="41"/>
      <c r="J146" s="41"/>
      <c r="K146" s="41"/>
      <c r="L146" s="41">
        <f t="shared" si="22"/>
        <v>0</v>
      </c>
      <c r="M146" s="41" t="str">
        <f t="shared" si="23"/>
        <v/>
      </c>
      <c r="N146" s="42">
        <v>1</v>
      </c>
      <c r="O146" s="38"/>
      <c r="P146" s="38" t="str">
        <f t="shared" si="24"/>
        <v/>
      </c>
      <c r="Q146" s="40" t="str">
        <f t="shared" ca="1" si="25"/>
        <v/>
      </c>
    </row>
    <row r="147" spans="3:17" x14ac:dyDescent="0.25">
      <c r="C147" s="38"/>
      <c r="D147" s="49"/>
      <c r="E147" s="40"/>
      <c r="F147" s="40"/>
      <c r="G147" s="40"/>
      <c r="H147" s="40">
        <f t="shared" si="21"/>
        <v>0</v>
      </c>
      <c r="I147" s="41"/>
      <c r="J147" s="41"/>
      <c r="K147" s="41"/>
      <c r="L147" s="41">
        <f t="shared" si="22"/>
        <v>0</v>
      </c>
      <c r="M147" s="41" t="str">
        <f t="shared" si="23"/>
        <v/>
      </c>
      <c r="N147" s="42">
        <v>1</v>
      </c>
      <c r="O147" s="38"/>
      <c r="P147" s="38" t="str">
        <f t="shared" si="24"/>
        <v/>
      </c>
      <c r="Q147" s="40" t="str">
        <f t="shared" ca="1" si="25"/>
        <v/>
      </c>
    </row>
    <row r="148" spans="3:17" x14ac:dyDescent="0.25">
      <c r="C148" s="38"/>
      <c r="D148" s="49"/>
      <c r="E148" s="40"/>
      <c r="F148" s="40"/>
      <c r="G148" s="40"/>
      <c r="H148" s="40">
        <f t="shared" si="21"/>
        <v>0</v>
      </c>
      <c r="I148" s="41"/>
      <c r="J148" s="41"/>
      <c r="K148" s="41"/>
      <c r="L148" s="41">
        <f t="shared" si="22"/>
        <v>0</v>
      </c>
      <c r="M148" s="41" t="str">
        <f t="shared" si="23"/>
        <v/>
      </c>
      <c r="N148" s="42">
        <v>1</v>
      </c>
      <c r="O148" s="44"/>
      <c r="P148" s="38" t="str">
        <f t="shared" si="24"/>
        <v/>
      </c>
      <c r="Q148" s="40" t="str">
        <f t="shared" ca="1" si="25"/>
        <v/>
      </c>
    </row>
    <row r="149" spans="3:17" x14ac:dyDescent="0.25">
      <c r="C149" s="38"/>
      <c r="D149" s="49"/>
      <c r="E149" s="40"/>
      <c r="F149" s="40"/>
      <c r="G149" s="40"/>
      <c r="H149" s="40">
        <f t="shared" si="21"/>
        <v>0</v>
      </c>
      <c r="I149" s="41"/>
      <c r="J149" s="41"/>
      <c r="K149" s="41"/>
      <c r="L149" s="41">
        <f t="shared" si="22"/>
        <v>0</v>
      </c>
      <c r="M149" s="41" t="str">
        <f t="shared" si="23"/>
        <v/>
      </c>
      <c r="N149" s="42">
        <v>1</v>
      </c>
      <c r="O149" s="38"/>
      <c r="P149" s="38" t="str">
        <f t="shared" si="24"/>
        <v/>
      </c>
      <c r="Q149" s="40" t="str">
        <f t="shared" ca="1" si="25"/>
        <v/>
      </c>
    </row>
    <row r="150" spans="3:17" x14ac:dyDescent="0.25">
      <c r="C150" s="38"/>
      <c r="D150" s="49"/>
      <c r="E150" s="40"/>
      <c r="F150" s="40"/>
      <c r="G150" s="40"/>
      <c r="H150" s="40"/>
      <c r="I150" s="41"/>
      <c r="J150" s="41"/>
      <c r="K150" s="41"/>
      <c r="L150" s="41"/>
      <c r="M150" s="41"/>
      <c r="N150" s="42"/>
      <c r="O150" s="67"/>
      <c r="P150" s="67"/>
      <c r="Q150" s="40"/>
    </row>
  </sheetData>
  <autoFilter ref="C5:Q150" xr:uid="{00000000-0009-0000-0000-000003000000}">
    <sortState xmlns:xlrd2="http://schemas.microsoft.com/office/spreadsheetml/2017/richdata2" ref="C6:Q150">
      <sortCondition sortBy="cellColor" ref="J5:J150" dxfId="15"/>
    </sortState>
  </autoFilter>
  <conditionalFormatting sqref="I6:I150">
    <cfRule type="cellIs" dxfId="12" priority="4" operator="lessThan">
      <formula>0</formula>
    </cfRule>
  </conditionalFormatting>
  <conditionalFormatting sqref="J6:J150">
    <cfRule type="cellIs" dxfId="11" priority="3" operator="equal">
      <formula>"Assinatura"</formula>
    </cfRule>
  </conditionalFormatting>
  <conditionalFormatting sqref="J6:K150">
    <cfRule type="cellIs" dxfId="10" priority="2" operator="equal">
      <formula>"Parcelado"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20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2" customWidth="1"/>
    <col min="2" max="2" width="36.5703125" customWidth="1"/>
    <col min="3" max="3" width="5.28515625" customWidth="1"/>
    <col min="4" max="4" width="33.85546875" customWidth="1"/>
    <col min="5" max="10" width="13.5703125" customWidth="1"/>
    <col min="11" max="11" width="15.5703125" customWidth="1"/>
    <col min="12" max="15" width="13.5703125" hidden="1" customWidth="1"/>
    <col min="16" max="16" width="53.42578125" customWidth="1"/>
    <col min="18" max="18" width="24.7109375" customWidth="1"/>
  </cols>
  <sheetData>
    <row r="2" spans="2:18" ht="30" customHeight="1" x14ac:dyDescent="0.25">
      <c r="D2" s="36" t="s">
        <v>28</v>
      </c>
      <c r="E2" s="36" t="s">
        <v>29</v>
      </c>
      <c r="F2" s="36" t="s">
        <v>30</v>
      </c>
      <c r="G2" s="36" t="s">
        <v>31</v>
      </c>
      <c r="H2" s="37" t="s">
        <v>32</v>
      </c>
      <c r="I2" s="36" t="s">
        <v>33</v>
      </c>
      <c r="J2" s="37" t="s">
        <v>36</v>
      </c>
      <c r="K2" s="37" t="s">
        <v>37</v>
      </c>
      <c r="L2" s="37" t="s">
        <v>38</v>
      </c>
      <c r="M2" s="36" t="s">
        <v>39</v>
      </c>
      <c r="N2" s="36" t="s">
        <v>40</v>
      </c>
      <c r="O2" s="37" t="s">
        <v>41</v>
      </c>
    </row>
    <row r="3" spans="2:18" ht="16.5" customHeight="1" x14ac:dyDescent="0.25">
      <c r="D3" s="57" t="s">
        <v>22</v>
      </c>
      <c r="E3" s="39" t="s">
        <v>1</v>
      </c>
      <c r="F3" s="40" t="s">
        <v>2</v>
      </c>
      <c r="G3" s="40"/>
      <c r="H3" s="40">
        <f>COUNTA(E3:G3)</f>
        <v>2</v>
      </c>
      <c r="I3" s="41">
        <v>3235.67</v>
      </c>
      <c r="J3" s="41">
        <f t="shared" ref="J3:J10" si="0">I3/L3</f>
        <v>3235.67</v>
      </c>
      <c r="K3" s="41">
        <f t="shared" ref="K3:K10" si="1">IFERROR(J3/H3,"")</f>
        <v>1617.835</v>
      </c>
      <c r="L3" s="40">
        <f t="shared" ref="L3:L10" si="2">(DATEDIF(M3,N3,"m")+1)</f>
        <v>1</v>
      </c>
      <c r="M3" s="41"/>
      <c r="N3" s="41"/>
      <c r="O3" s="42">
        <f t="shared" ref="O3:O10" ca="1" si="3">IFERROR(DATEDIF(M3,TODAY(),"m")+1,"")</f>
        <v>1519</v>
      </c>
      <c r="R3" s="16"/>
    </row>
    <row r="4" spans="2:18" ht="16.5" customHeight="1" x14ac:dyDescent="0.25">
      <c r="D4" s="58" t="s">
        <v>125</v>
      </c>
      <c r="E4" s="59" t="s">
        <v>1</v>
      </c>
      <c r="F4" s="60" t="s">
        <v>2</v>
      </c>
      <c r="G4" s="40"/>
      <c r="H4" s="60">
        <f>COUNTA(E4:F4)</f>
        <v>2</v>
      </c>
      <c r="I4" s="61">
        <v>444</v>
      </c>
      <c r="J4" s="61">
        <f t="shared" si="0"/>
        <v>444</v>
      </c>
      <c r="K4" s="61">
        <f t="shared" si="1"/>
        <v>222</v>
      </c>
      <c r="L4" s="40">
        <f t="shared" si="2"/>
        <v>1</v>
      </c>
      <c r="M4" s="41"/>
      <c r="N4" s="41"/>
      <c r="O4" s="42">
        <f t="shared" ca="1" si="3"/>
        <v>1519</v>
      </c>
      <c r="R4" s="16"/>
    </row>
    <row r="5" spans="2:18" ht="16.5" customHeight="1" x14ac:dyDescent="0.25">
      <c r="B5" s="33" t="s">
        <v>1</v>
      </c>
      <c r="D5" s="57" t="s">
        <v>126</v>
      </c>
      <c r="E5" s="39" t="s">
        <v>1</v>
      </c>
      <c r="F5" s="40" t="s">
        <v>2</v>
      </c>
      <c r="G5" s="40"/>
      <c r="H5" s="40">
        <f>COUNTA(E5:F5)</f>
        <v>2</v>
      </c>
      <c r="I5" s="41">
        <v>360</v>
      </c>
      <c r="J5" s="41">
        <f t="shared" si="0"/>
        <v>360</v>
      </c>
      <c r="K5" s="41">
        <f t="shared" si="1"/>
        <v>180</v>
      </c>
      <c r="L5" s="40">
        <f t="shared" si="2"/>
        <v>1</v>
      </c>
      <c r="M5" s="41"/>
      <c r="N5" s="41"/>
      <c r="O5" s="42">
        <f t="shared" ca="1" si="3"/>
        <v>1519</v>
      </c>
      <c r="P5" s="62"/>
    </row>
    <row r="6" spans="2:18" ht="16.5" customHeight="1" x14ac:dyDescent="0.25">
      <c r="B6" s="35">
        <f>SUMIF($E$3:$E$34,B5,$K$3:$K$34)</f>
        <v>2382.0700000000002</v>
      </c>
      <c r="D6" s="57" t="s">
        <v>127</v>
      </c>
      <c r="E6" s="39" t="s">
        <v>1</v>
      </c>
      <c r="F6" s="40" t="s">
        <v>2</v>
      </c>
      <c r="G6" s="40"/>
      <c r="H6" s="40">
        <f>COUNTA(E6:F6)</f>
        <v>2</v>
      </c>
      <c r="I6" s="41">
        <v>86.7</v>
      </c>
      <c r="J6" s="41">
        <f t="shared" si="0"/>
        <v>86.7</v>
      </c>
      <c r="K6" s="41">
        <f t="shared" si="1"/>
        <v>43.35</v>
      </c>
      <c r="L6" s="40">
        <f t="shared" si="2"/>
        <v>1</v>
      </c>
      <c r="M6" s="41"/>
      <c r="N6" s="41"/>
      <c r="O6" s="42">
        <f t="shared" ca="1" si="3"/>
        <v>1519</v>
      </c>
    </row>
    <row r="7" spans="2:18" ht="16.5" customHeight="1" x14ac:dyDescent="0.25">
      <c r="B7" s="63"/>
      <c r="D7" s="57" t="s">
        <v>128</v>
      </c>
      <c r="E7" s="39" t="s">
        <v>1</v>
      </c>
      <c r="F7" s="40" t="s">
        <v>2</v>
      </c>
      <c r="G7" s="40"/>
      <c r="H7" s="40">
        <f>COUNTA(E7:F7)</f>
        <v>2</v>
      </c>
      <c r="I7" s="41">
        <v>46</v>
      </c>
      <c r="J7" s="41">
        <f t="shared" si="0"/>
        <v>46</v>
      </c>
      <c r="K7" s="41">
        <f t="shared" si="1"/>
        <v>23</v>
      </c>
      <c r="L7" s="40">
        <f t="shared" si="2"/>
        <v>1</v>
      </c>
      <c r="M7" s="41"/>
      <c r="N7" s="41"/>
      <c r="O7" s="42">
        <f t="shared" ca="1" si="3"/>
        <v>1519</v>
      </c>
    </row>
    <row r="8" spans="2:18" ht="16.5" customHeight="1" x14ac:dyDescent="0.25">
      <c r="B8" s="33" t="s">
        <v>2</v>
      </c>
      <c r="D8" s="57" t="s">
        <v>61</v>
      </c>
      <c r="E8" s="39" t="s">
        <v>1</v>
      </c>
      <c r="F8" s="40" t="s">
        <v>2</v>
      </c>
      <c r="G8" s="40"/>
      <c r="H8" s="40">
        <f>COUNTA(E8:F8)</f>
        <v>2</v>
      </c>
      <c r="I8" s="41">
        <v>224.77</v>
      </c>
      <c r="J8" s="41">
        <f t="shared" si="0"/>
        <v>224.77</v>
      </c>
      <c r="K8" s="41">
        <f t="shared" si="1"/>
        <v>112.38500000000001</v>
      </c>
      <c r="L8" s="40">
        <f t="shared" si="2"/>
        <v>1</v>
      </c>
      <c r="M8" s="41"/>
      <c r="N8" s="41"/>
      <c r="O8" s="42">
        <f t="shared" ca="1" si="3"/>
        <v>1519</v>
      </c>
    </row>
    <row r="9" spans="2:18" ht="16.5" customHeight="1" x14ac:dyDescent="0.25">
      <c r="B9" s="64">
        <f>SUMIF($F$3:$F$34,B8,$K$3:$K$34)</f>
        <v>3382.07</v>
      </c>
      <c r="D9" s="57" t="s">
        <v>129</v>
      </c>
      <c r="E9" s="39" t="s">
        <v>1</v>
      </c>
      <c r="F9" s="40" t="s">
        <v>2</v>
      </c>
      <c r="G9" s="40"/>
      <c r="H9" s="40">
        <f>COUNTA(E9:G9)</f>
        <v>2</v>
      </c>
      <c r="I9" s="41">
        <f>250+117</f>
        <v>367</v>
      </c>
      <c r="J9" s="41">
        <f t="shared" si="0"/>
        <v>367</v>
      </c>
      <c r="K9" s="41">
        <f t="shared" si="1"/>
        <v>183.5</v>
      </c>
      <c r="L9" s="40">
        <f t="shared" si="2"/>
        <v>1</v>
      </c>
      <c r="M9" s="41"/>
      <c r="N9" s="41"/>
      <c r="O9" s="42">
        <f t="shared" ca="1" si="3"/>
        <v>1519</v>
      </c>
    </row>
    <row r="10" spans="2:18" x14ac:dyDescent="0.25">
      <c r="D10" s="57" t="s">
        <v>130</v>
      </c>
      <c r="E10" s="39"/>
      <c r="F10" s="40" t="s">
        <v>2</v>
      </c>
      <c r="G10" s="40"/>
      <c r="H10" s="40">
        <f>COUNTA(E10:G10)</f>
        <v>1</v>
      </c>
      <c r="I10" s="41">
        <v>1000</v>
      </c>
      <c r="J10" s="41">
        <f t="shared" si="0"/>
        <v>1000</v>
      </c>
      <c r="K10" s="41">
        <f t="shared" si="1"/>
        <v>1000</v>
      </c>
      <c r="L10" s="40">
        <f t="shared" si="2"/>
        <v>1</v>
      </c>
      <c r="M10" s="41"/>
      <c r="N10" s="41"/>
      <c r="O10" s="42">
        <f t="shared" ca="1" si="3"/>
        <v>1519</v>
      </c>
    </row>
    <row r="11" spans="2:18" x14ac:dyDescent="0.25">
      <c r="D11" s="40"/>
      <c r="E11" s="39"/>
      <c r="F11" s="40"/>
      <c r="G11" s="40"/>
      <c r="H11" s="40"/>
      <c r="I11" s="40"/>
      <c r="J11" s="41"/>
      <c r="K11" s="40"/>
      <c r="L11" s="40"/>
      <c r="M11" s="41"/>
      <c r="N11" s="41"/>
      <c r="O11" s="42"/>
    </row>
    <row r="12" spans="2:18" x14ac:dyDescent="0.25">
      <c r="D12" s="40"/>
      <c r="E12" s="39"/>
      <c r="F12" s="40"/>
      <c r="G12" s="40"/>
      <c r="H12" s="40"/>
      <c r="I12" s="40"/>
      <c r="J12" s="41"/>
      <c r="K12" s="40"/>
      <c r="L12" s="40"/>
      <c r="M12" s="41"/>
      <c r="N12" s="41"/>
      <c r="O12" s="42"/>
    </row>
    <row r="13" spans="2:18" x14ac:dyDescent="0.25">
      <c r="D13" s="40"/>
      <c r="E13" s="39"/>
      <c r="F13" s="40"/>
      <c r="G13" s="40"/>
      <c r="H13" s="40"/>
      <c r="I13" s="40"/>
      <c r="J13" s="41"/>
      <c r="K13" s="40"/>
      <c r="L13" s="40"/>
      <c r="M13" s="41"/>
      <c r="N13" s="41"/>
      <c r="O13" s="42"/>
    </row>
    <row r="14" spans="2:18" x14ac:dyDescent="0.25">
      <c r="D14" s="40"/>
      <c r="E14" s="39"/>
      <c r="F14" s="40"/>
      <c r="G14" s="40"/>
      <c r="H14" s="40"/>
      <c r="I14" s="40"/>
      <c r="J14" s="41"/>
      <c r="K14" s="40"/>
      <c r="L14" s="40"/>
      <c r="M14" s="41"/>
      <c r="N14" s="41"/>
      <c r="O14" s="42"/>
    </row>
    <row r="15" spans="2:18" x14ac:dyDescent="0.25">
      <c r="D15" s="40"/>
      <c r="E15" s="39"/>
      <c r="F15" s="40"/>
      <c r="G15" s="40"/>
      <c r="H15" s="40"/>
      <c r="I15" s="40"/>
      <c r="J15" s="41"/>
      <c r="K15" s="40"/>
      <c r="L15" s="40"/>
      <c r="M15" s="41"/>
      <c r="N15" s="41"/>
      <c r="O15" s="42"/>
    </row>
    <row r="16" spans="2:18" x14ac:dyDescent="0.25">
      <c r="D16" s="40"/>
      <c r="E16" s="39"/>
      <c r="F16" s="40"/>
      <c r="G16" s="40"/>
      <c r="H16" s="40"/>
      <c r="I16" s="40"/>
      <c r="J16" s="41"/>
      <c r="K16" s="40"/>
      <c r="L16" s="40"/>
      <c r="M16" s="41"/>
      <c r="N16" s="41"/>
      <c r="O16" s="42"/>
    </row>
    <row r="17" spans="4:15" x14ac:dyDescent="0.25">
      <c r="D17" s="40"/>
      <c r="E17" s="39"/>
      <c r="F17" s="40"/>
      <c r="G17" s="40"/>
      <c r="H17" s="40"/>
      <c r="I17" s="40"/>
      <c r="J17" s="41"/>
      <c r="K17" s="40"/>
      <c r="L17" s="40"/>
      <c r="M17" s="41"/>
      <c r="N17" s="41"/>
      <c r="O17" s="42"/>
    </row>
    <row r="18" spans="4:15" x14ac:dyDescent="0.25">
      <c r="D18" s="40"/>
      <c r="E18" s="39"/>
      <c r="F18" s="40"/>
      <c r="G18" s="40"/>
      <c r="H18" s="40"/>
      <c r="I18" s="40"/>
      <c r="J18" s="41"/>
      <c r="K18" s="40"/>
      <c r="L18" s="40"/>
      <c r="M18" s="41"/>
      <c r="N18" s="41"/>
      <c r="O18" s="42"/>
    </row>
    <row r="19" spans="4:15" x14ac:dyDescent="0.25">
      <c r="D19" s="40"/>
      <c r="E19" s="39"/>
      <c r="F19" s="40"/>
      <c r="G19" s="40"/>
      <c r="H19" s="40"/>
      <c r="I19" s="40"/>
      <c r="J19" s="41"/>
      <c r="K19" s="40"/>
      <c r="L19" s="40"/>
      <c r="M19" s="41"/>
      <c r="N19" s="41"/>
      <c r="O19" s="42"/>
    </row>
    <row r="20" spans="4:15" x14ac:dyDescent="0.25">
      <c r="D20" s="40"/>
      <c r="E20" s="39"/>
      <c r="F20" s="40"/>
      <c r="G20" s="40"/>
      <c r="H20" s="40"/>
      <c r="I20" s="40"/>
      <c r="J20" s="41"/>
      <c r="K20" s="40"/>
      <c r="L20" s="40"/>
      <c r="M20" s="41"/>
      <c r="N20" s="41"/>
      <c r="O20" s="4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04"/>
  <sheetViews>
    <sheetView showGridLines="0" tabSelected="1" topLeftCell="A62" zoomScale="85" zoomScaleNormal="85" workbookViewId="0">
      <selection activeCell="B75" sqref="B75:D162"/>
    </sheetView>
  </sheetViews>
  <sheetFormatPr defaultColWidth="8.7109375" defaultRowHeight="15" outlineLevelRow="1" x14ac:dyDescent="0.25"/>
  <cols>
    <col min="1" max="1" width="25.140625" bestFit="1" customWidth="1"/>
    <col min="2" max="2" width="29.140625" customWidth="1"/>
    <col min="3" max="3" width="20" customWidth="1"/>
    <col min="4" max="4" width="18" customWidth="1"/>
    <col min="5" max="5" width="10.140625" customWidth="1"/>
    <col min="6" max="6" width="39.7109375" customWidth="1"/>
    <col min="7" max="7" width="35.42578125" style="1" customWidth="1"/>
    <col min="8" max="10" width="35.42578125" customWidth="1"/>
    <col min="12" max="12" width="35.85546875" customWidth="1"/>
    <col min="13" max="13" width="16.7109375" customWidth="1"/>
    <col min="14" max="14" width="24" customWidth="1"/>
    <col min="15" max="15" width="20" customWidth="1"/>
  </cols>
  <sheetData>
    <row r="1" spans="2:15" x14ac:dyDescent="0.25">
      <c r="G1" s="2"/>
      <c r="N1" s="50" t="s">
        <v>131</v>
      </c>
    </row>
    <row r="2" spans="2:15" ht="14.25" customHeight="1" x14ac:dyDescent="0.25">
      <c r="G2" s="2"/>
      <c r="N2" s="46"/>
    </row>
    <row r="3" spans="2:15" ht="27.75" customHeight="1" x14ac:dyDescent="0.25">
      <c r="G3" s="2"/>
      <c r="L3" s="50" t="s">
        <v>132</v>
      </c>
      <c r="M3" s="75" t="s">
        <v>133</v>
      </c>
      <c r="N3" s="46">
        <f>SUM(N5:N21)</f>
        <v>5351</v>
      </c>
      <c r="O3" s="16"/>
    </row>
    <row r="4" spans="2:15" x14ac:dyDescent="0.25">
      <c r="G4" s="2"/>
      <c r="L4" s="51" t="s">
        <v>134</v>
      </c>
      <c r="M4" s="76"/>
      <c r="N4" s="52"/>
    </row>
    <row r="5" spans="2:15" x14ac:dyDescent="0.25">
      <c r="B5" s="46"/>
      <c r="C5" s="46"/>
      <c r="F5" s="16"/>
      <c r="G5" s="31"/>
      <c r="L5" t="s">
        <v>135</v>
      </c>
      <c r="N5" s="1">
        <v>4912</v>
      </c>
      <c r="O5" s="16"/>
    </row>
    <row r="6" spans="2:15" x14ac:dyDescent="0.25">
      <c r="G6" s="2"/>
      <c r="L6" t="s">
        <v>136</v>
      </c>
      <c r="N6" s="1">
        <v>101</v>
      </c>
    </row>
    <row r="7" spans="2:15" x14ac:dyDescent="0.25">
      <c r="G7" s="2"/>
      <c r="N7" s="1"/>
    </row>
    <row r="8" spans="2:15" x14ac:dyDescent="0.25">
      <c r="F8" s="16"/>
      <c r="G8" s="53"/>
      <c r="L8" t="s">
        <v>137</v>
      </c>
      <c r="M8" t="s">
        <v>138</v>
      </c>
      <c r="N8" s="1">
        <v>338</v>
      </c>
    </row>
    <row r="9" spans="2:15" x14ac:dyDescent="0.25">
      <c r="F9" s="50" t="s">
        <v>139</v>
      </c>
      <c r="G9" s="31"/>
      <c r="N9" s="46"/>
    </row>
    <row r="10" spans="2:15" x14ac:dyDescent="0.25">
      <c r="E10" t="s">
        <v>140</v>
      </c>
      <c r="F10" s="16">
        <f>SUM(G11:I11)</f>
        <v>164.15000000000146</v>
      </c>
      <c r="G10" s="54" t="s">
        <v>141</v>
      </c>
      <c r="H10" s="54" t="s">
        <v>142</v>
      </c>
      <c r="I10" s="54" t="s">
        <v>143</v>
      </c>
      <c r="N10" s="46"/>
    </row>
    <row r="11" spans="2:15" x14ac:dyDescent="0.25">
      <c r="E11" t="s">
        <v>144</v>
      </c>
      <c r="F11" s="16">
        <f>SUM(G11:H11)</f>
        <v>164.15000000000146</v>
      </c>
      <c r="G11" s="1">
        <f>G12+SUM(G14:G496)</f>
        <v>164.15000000000146</v>
      </c>
      <c r="H11" s="1">
        <f>H12+SUM(H14:H496)</f>
        <v>0</v>
      </c>
      <c r="I11" s="1">
        <f>I12+SUM(I14:I496)</f>
        <v>0</v>
      </c>
      <c r="N11" s="46"/>
    </row>
    <row r="12" spans="2:15" x14ac:dyDescent="0.25">
      <c r="F12" t="s">
        <v>132</v>
      </c>
      <c r="G12" s="1">
        <v>15250</v>
      </c>
      <c r="N12" s="46"/>
    </row>
    <row r="13" spans="2:15" x14ac:dyDescent="0.25">
      <c r="F13" s="74" t="s">
        <v>134</v>
      </c>
      <c r="G13" s="55"/>
      <c r="H13" s="74"/>
      <c r="I13" s="74"/>
      <c r="N13" s="46"/>
    </row>
    <row r="14" spans="2:15" outlineLevel="1" x14ac:dyDescent="0.25">
      <c r="C14" s="56"/>
      <c r="D14" s="56"/>
      <c r="F14" t="s">
        <v>145</v>
      </c>
      <c r="G14" s="56"/>
      <c r="H14" s="56"/>
      <c r="I14" s="56"/>
      <c r="N14" s="46"/>
    </row>
    <row r="15" spans="2:15" outlineLevel="1" x14ac:dyDescent="0.25">
      <c r="C15" s="56"/>
      <c r="D15" s="56"/>
      <c r="F15" t="s">
        <v>146</v>
      </c>
      <c r="G15" s="56">
        <v>773.35</v>
      </c>
      <c r="H15" s="56"/>
      <c r="I15" s="56"/>
      <c r="N15" s="46"/>
    </row>
    <row r="16" spans="2:15" outlineLevel="1" x14ac:dyDescent="0.25">
      <c r="C16" s="56"/>
      <c r="D16" s="56"/>
      <c r="F16" t="s">
        <v>147</v>
      </c>
      <c r="G16" s="56">
        <v>-5148</v>
      </c>
      <c r="H16" s="56"/>
      <c r="I16" s="56"/>
      <c r="N16" s="46"/>
    </row>
    <row r="17" spans="3:14" outlineLevel="1" x14ac:dyDescent="0.25">
      <c r="C17" s="56"/>
      <c r="D17" s="56"/>
      <c r="F17" t="s">
        <v>148</v>
      </c>
      <c r="G17" s="56">
        <v>-168</v>
      </c>
      <c r="H17" s="56"/>
      <c r="I17" s="56"/>
      <c r="N17" s="46"/>
    </row>
    <row r="18" spans="3:14" outlineLevel="1" x14ac:dyDescent="0.25">
      <c r="C18" s="56"/>
      <c r="D18" s="56"/>
      <c r="F18" t="s">
        <v>149</v>
      </c>
      <c r="G18" s="56">
        <v>-1700</v>
      </c>
      <c r="H18" s="56"/>
      <c r="I18" s="56"/>
      <c r="N18" s="46"/>
    </row>
    <row r="19" spans="3:14" outlineLevel="1" x14ac:dyDescent="0.25">
      <c r="C19" s="56"/>
      <c r="D19" s="56"/>
      <c r="F19" t="s">
        <v>150</v>
      </c>
      <c r="G19" s="56">
        <v>5148</v>
      </c>
      <c r="H19" s="56"/>
      <c r="I19" s="56"/>
      <c r="N19" s="46"/>
    </row>
    <row r="20" spans="3:14" outlineLevel="1" x14ac:dyDescent="0.25">
      <c r="C20" s="56"/>
      <c r="D20" s="56"/>
      <c r="F20" t="s">
        <v>151</v>
      </c>
      <c r="G20" s="56">
        <v>-4938</v>
      </c>
      <c r="H20" s="56"/>
      <c r="I20" s="56"/>
      <c r="N20" s="46"/>
    </row>
    <row r="21" spans="3:14" outlineLevel="1" x14ac:dyDescent="0.25">
      <c r="C21" s="56"/>
      <c r="D21" s="56"/>
      <c r="F21" t="s">
        <v>152</v>
      </c>
      <c r="G21" s="56">
        <v>-1595</v>
      </c>
      <c r="H21" s="56"/>
      <c r="I21" s="56"/>
      <c r="N21" s="46"/>
    </row>
    <row r="22" spans="3:14" outlineLevel="1" x14ac:dyDescent="0.25">
      <c r="C22" s="56"/>
      <c r="D22" s="56"/>
      <c r="F22" t="s">
        <v>153</v>
      </c>
      <c r="G22" s="56">
        <v>-4677</v>
      </c>
      <c r="H22" s="56"/>
      <c r="I22" s="56"/>
      <c r="N22" s="46"/>
    </row>
    <row r="23" spans="3:14" outlineLevel="1" x14ac:dyDescent="0.25">
      <c r="C23" s="56"/>
      <c r="D23" s="56"/>
      <c r="F23" t="s">
        <v>154</v>
      </c>
      <c r="G23" s="56">
        <v>-200</v>
      </c>
      <c r="H23" s="56"/>
      <c r="I23" s="56"/>
      <c r="N23" s="46"/>
    </row>
    <row r="24" spans="3:14" outlineLevel="1" x14ac:dyDescent="0.25">
      <c r="C24" s="56"/>
      <c r="D24" s="56"/>
      <c r="F24" t="s">
        <v>150</v>
      </c>
      <c r="G24" s="56">
        <v>4677</v>
      </c>
      <c r="H24" s="56"/>
      <c r="I24" s="56"/>
      <c r="N24" s="46"/>
    </row>
    <row r="25" spans="3:14" outlineLevel="1" x14ac:dyDescent="0.25">
      <c r="C25" s="56"/>
      <c r="D25" s="56"/>
      <c r="F25" t="s">
        <v>155</v>
      </c>
      <c r="G25" s="56">
        <v>-750</v>
      </c>
      <c r="H25" s="56"/>
      <c r="I25" s="56"/>
      <c r="N25" s="46"/>
    </row>
    <row r="26" spans="3:14" outlineLevel="1" x14ac:dyDescent="0.25">
      <c r="C26" s="56"/>
      <c r="D26" s="56"/>
      <c r="F26" t="s">
        <v>156</v>
      </c>
      <c r="G26" s="56">
        <v>-652</v>
      </c>
      <c r="H26" s="56"/>
      <c r="I26" s="56"/>
      <c r="N26" s="46"/>
    </row>
    <row r="27" spans="3:14" outlineLevel="1" x14ac:dyDescent="0.25">
      <c r="C27" s="56"/>
      <c r="D27" s="56"/>
      <c r="F27" t="s">
        <v>157</v>
      </c>
      <c r="G27" s="56">
        <v>11100</v>
      </c>
      <c r="H27" s="56"/>
      <c r="I27" s="56"/>
      <c r="N27" s="46"/>
    </row>
    <row r="28" spans="3:14" outlineLevel="1" x14ac:dyDescent="0.25">
      <c r="C28" s="56"/>
      <c r="D28" s="56"/>
      <c r="F28" t="s">
        <v>158</v>
      </c>
      <c r="G28" s="56">
        <v>-396</v>
      </c>
      <c r="H28" s="56"/>
      <c r="I28" s="56"/>
      <c r="N28" s="46"/>
    </row>
    <row r="29" spans="3:14" outlineLevel="1" x14ac:dyDescent="0.25">
      <c r="C29" s="56"/>
      <c r="D29" s="56"/>
      <c r="F29" t="s">
        <v>153</v>
      </c>
      <c r="G29" s="56">
        <v>-4211</v>
      </c>
      <c r="H29" s="56"/>
      <c r="I29" s="56"/>
      <c r="N29" s="46"/>
    </row>
    <row r="30" spans="3:14" outlineLevel="1" x14ac:dyDescent="0.25">
      <c r="C30" s="56"/>
      <c r="D30" s="56"/>
      <c r="F30" t="s">
        <v>159</v>
      </c>
      <c r="G30" s="56">
        <v>-450</v>
      </c>
      <c r="H30" s="56"/>
      <c r="I30" s="56"/>
      <c r="N30" s="46"/>
    </row>
    <row r="31" spans="3:14" outlineLevel="1" x14ac:dyDescent="0.25">
      <c r="C31" s="56"/>
      <c r="D31" s="56"/>
      <c r="F31" t="s">
        <v>160</v>
      </c>
      <c r="G31" s="56">
        <v>-1197</v>
      </c>
      <c r="H31" s="56"/>
      <c r="I31" s="56"/>
      <c r="N31" s="46"/>
    </row>
    <row r="32" spans="3:14" outlineLevel="1" x14ac:dyDescent="0.25">
      <c r="C32" s="56"/>
      <c r="D32" s="56"/>
      <c r="F32" t="s">
        <v>81</v>
      </c>
      <c r="G32" s="56">
        <v>-315</v>
      </c>
      <c r="H32" s="56"/>
      <c r="I32" s="56"/>
      <c r="N32" s="46"/>
    </row>
    <row r="33" spans="3:14" outlineLevel="1" x14ac:dyDescent="0.25">
      <c r="C33" s="56"/>
      <c r="D33" s="56"/>
      <c r="F33" t="s">
        <v>161</v>
      </c>
      <c r="G33" s="56">
        <v>-830</v>
      </c>
      <c r="H33" s="56"/>
      <c r="I33" s="56"/>
      <c r="N33" s="46"/>
    </row>
    <row r="34" spans="3:14" outlineLevel="1" x14ac:dyDescent="0.25">
      <c r="C34" s="56"/>
      <c r="D34" s="56"/>
      <c r="F34" t="s">
        <v>162</v>
      </c>
      <c r="G34" s="56">
        <v>4211</v>
      </c>
      <c r="H34" s="56"/>
      <c r="I34" s="56"/>
      <c r="N34" s="46"/>
    </row>
    <row r="35" spans="3:14" outlineLevel="1" x14ac:dyDescent="0.25">
      <c r="C35" s="56"/>
      <c r="D35" s="56"/>
      <c r="F35" t="s">
        <v>163</v>
      </c>
      <c r="G35" s="56">
        <v>-200</v>
      </c>
      <c r="H35" s="56"/>
      <c r="I35" s="56"/>
      <c r="N35" s="46"/>
    </row>
    <row r="36" spans="3:14" outlineLevel="1" x14ac:dyDescent="0.25">
      <c r="C36" s="56"/>
      <c r="D36" s="56"/>
      <c r="F36" t="s">
        <v>164</v>
      </c>
      <c r="G36" s="56">
        <v>10000</v>
      </c>
      <c r="H36" s="56"/>
      <c r="I36" s="56"/>
      <c r="N36" s="46"/>
    </row>
    <row r="37" spans="3:14" outlineLevel="1" x14ac:dyDescent="0.25">
      <c r="C37" s="56"/>
      <c r="D37" s="56"/>
      <c r="F37" t="s">
        <v>165</v>
      </c>
      <c r="G37" s="56">
        <v>-200</v>
      </c>
      <c r="H37" s="56"/>
      <c r="I37" s="56"/>
      <c r="N37" s="46"/>
    </row>
    <row r="38" spans="3:14" outlineLevel="1" x14ac:dyDescent="0.25">
      <c r="C38" s="56"/>
      <c r="D38" s="56"/>
      <c r="F38" t="s">
        <v>166</v>
      </c>
      <c r="G38" s="56">
        <v>-381</v>
      </c>
      <c r="H38" s="56"/>
      <c r="I38" s="56"/>
      <c r="N38" s="46"/>
    </row>
    <row r="39" spans="3:14" outlineLevel="1" x14ac:dyDescent="0.25">
      <c r="C39" s="56"/>
      <c r="D39" s="56"/>
      <c r="F39" t="s">
        <v>153</v>
      </c>
      <c r="G39" s="56">
        <v>-4911</v>
      </c>
      <c r="H39" s="56"/>
      <c r="I39" s="56"/>
      <c r="N39" s="46"/>
    </row>
    <row r="40" spans="3:14" outlineLevel="1" x14ac:dyDescent="0.25">
      <c r="C40" s="56"/>
      <c r="D40" s="56"/>
      <c r="E40" s="2"/>
      <c r="F40" t="s">
        <v>167</v>
      </c>
      <c r="G40" s="56">
        <v>-5700</v>
      </c>
      <c r="H40" s="56"/>
      <c r="I40" s="56"/>
      <c r="N40" s="46"/>
    </row>
    <row r="41" spans="3:14" outlineLevel="1" x14ac:dyDescent="0.25">
      <c r="C41" s="56"/>
      <c r="D41" s="56"/>
      <c r="F41" t="s">
        <v>168</v>
      </c>
      <c r="G41" s="56">
        <v>-400</v>
      </c>
      <c r="H41" s="56"/>
      <c r="I41" s="56"/>
      <c r="N41" s="46"/>
    </row>
    <row r="42" spans="3:14" outlineLevel="1" x14ac:dyDescent="0.25">
      <c r="C42" s="56"/>
      <c r="D42" s="56"/>
      <c r="F42" t="s">
        <v>169</v>
      </c>
      <c r="G42" s="56">
        <v>-450</v>
      </c>
      <c r="H42" s="56"/>
      <c r="I42" s="56"/>
      <c r="N42" s="46"/>
    </row>
    <row r="43" spans="3:14" outlineLevel="1" x14ac:dyDescent="0.25">
      <c r="C43" s="56"/>
      <c r="D43" s="56"/>
      <c r="F43" t="s">
        <v>170</v>
      </c>
      <c r="G43" s="56">
        <v>-640</v>
      </c>
      <c r="H43" s="56"/>
      <c r="I43" s="56"/>
      <c r="N43" s="46"/>
    </row>
    <row r="44" spans="3:14" outlineLevel="1" x14ac:dyDescent="0.25">
      <c r="C44" s="56"/>
      <c r="D44" s="56"/>
      <c r="E44" s="2"/>
      <c r="F44" t="s">
        <v>171</v>
      </c>
      <c r="G44" s="56">
        <v>5700</v>
      </c>
      <c r="H44" s="56"/>
      <c r="I44" s="56"/>
      <c r="N44" s="46"/>
    </row>
    <row r="45" spans="3:14" outlineLevel="1" x14ac:dyDescent="0.25">
      <c r="C45" s="56"/>
      <c r="D45" s="56"/>
      <c r="F45" t="s">
        <v>172</v>
      </c>
      <c r="G45" s="56">
        <v>-130</v>
      </c>
      <c r="H45" s="56"/>
      <c r="I45" s="56"/>
      <c r="N45" s="46"/>
    </row>
    <row r="46" spans="3:14" outlineLevel="1" x14ac:dyDescent="0.25">
      <c r="C46" s="56"/>
      <c r="D46" s="56"/>
      <c r="F46" t="s">
        <v>173</v>
      </c>
      <c r="G46" s="56">
        <v>-250</v>
      </c>
      <c r="H46" s="56"/>
      <c r="I46" s="56"/>
      <c r="N46" s="46"/>
    </row>
    <row r="47" spans="3:14" outlineLevel="1" x14ac:dyDescent="0.25">
      <c r="C47" s="56"/>
      <c r="D47" s="56"/>
      <c r="F47" t="s">
        <v>174</v>
      </c>
      <c r="G47" s="56">
        <v>-112.2</v>
      </c>
      <c r="H47" s="56"/>
      <c r="I47" s="56"/>
      <c r="N47" s="46"/>
    </row>
    <row r="48" spans="3:14" outlineLevel="1" x14ac:dyDescent="0.25">
      <c r="C48" s="56"/>
      <c r="D48" s="56"/>
      <c r="F48" t="s">
        <v>150</v>
      </c>
      <c r="G48" s="56">
        <v>4911</v>
      </c>
      <c r="H48" s="56"/>
      <c r="I48" s="56"/>
      <c r="N48" s="46"/>
    </row>
    <row r="49" spans="3:14" outlineLevel="1" x14ac:dyDescent="0.25">
      <c r="C49" s="56"/>
      <c r="D49" s="56"/>
      <c r="F49" t="s">
        <v>175</v>
      </c>
      <c r="G49" s="56">
        <v>-3000</v>
      </c>
      <c r="H49" s="56"/>
      <c r="I49" s="56"/>
      <c r="N49" s="46"/>
    </row>
    <row r="50" spans="3:14" outlineLevel="1" x14ac:dyDescent="0.25">
      <c r="C50" s="56"/>
      <c r="D50" s="56"/>
      <c r="F50" t="s">
        <v>176</v>
      </c>
      <c r="G50" s="56">
        <v>-4000</v>
      </c>
      <c r="H50" s="56"/>
      <c r="I50" s="56"/>
      <c r="N50" s="46"/>
    </row>
    <row r="51" spans="3:14" outlineLevel="1" x14ac:dyDescent="0.25">
      <c r="C51" s="56"/>
      <c r="D51" s="56"/>
      <c r="F51" t="s">
        <v>177</v>
      </c>
      <c r="G51" s="56">
        <v>-200</v>
      </c>
      <c r="H51" s="56"/>
      <c r="I51" s="56"/>
      <c r="N51" s="46"/>
    </row>
    <row r="52" spans="3:14" outlineLevel="1" x14ac:dyDescent="0.25">
      <c r="C52" s="56"/>
      <c r="D52" s="56"/>
      <c r="F52" t="s">
        <v>153</v>
      </c>
      <c r="G52" s="56">
        <v>-4612</v>
      </c>
      <c r="H52" s="56"/>
      <c r="I52" s="56"/>
      <c r="N52" s="46"/>
    </row>
    <row r="53" spans="3:14" outlineLevel="1" x14ac:dyDescent="0.25">
      <c r="F53" t="s">
        <v>178</v>
      </c>
      <c r="G53" s="56">
        <v>-700</v>
      </c>
      <c r="H53" s="56"/>
      <c r="I53" s="56"/>
      <c r="N53" s="46"/>
    </row>
    <row r="54" spans="3:14" outlineLevel="1" x14ac:dyDescent="0.25">
      <c r="F54" t="s">
        <v>179</v>
      </c>
      <c r="G54" s="56">
        <v>-880</v>
      </c>
      <c r="H54" s="56"/>
      <c r="I54" s="56"/>
      <c r="N54" s="46"/>
    </row>
    <row r="55" spans="3:14" outlineLevel="1" x14ac:dyDescent="0.25">
      <c r="F55" t="s">
        <v>180</v>
      </c>
      <c r="G55" s="56">
        <v>-310</v>
      </c>
      <c r="H55" s="56"/>
      <c r="I55" s="56"/>
      <c r="N55" s="46"/>
    </row>
    <row r="56" spans="3:14" x14ac:dyDescent="0.25">
      <c r="F56" t="s">
        <v>181</v>
      </c>
      <c r="G56" s="56">
        <v>-250</v>
      </c>
      <c r="H56" s="56"/>
      <c r="I56" s="56"/>
      <c r="N56" s="46"/>
    </row>
    <row r="57" spans="3:14" x14ac:dyDescent="0.25">
      <c r="F57" t="s">
        <v>150</v>
      </c>
      <c r="G57" s="56">
        <v>4690</v>
      </c>
      <c r="H57" s="56"/>
      <c r="I57" s="56"/>
      <c r="N57" s="46"/>
    </row>
    <row r="58" spans="3:14" x14ac:dyDescent="0.25">
      <c r="F58" t="s">
        <v>153</v>
      </c>
      <c r="G58" s="56">
        <v>-4440</v>
      </c>
      <c r="H58" s="56"/>
      <c r="I58" s="56"/>
      <c r="N58" s="46"/>
    </row>
    <row r="59" spans="3:14" x14ac:dyDescent="0.25">
      <c r="F59" t="s">
        <v>182</v>
      </c>
      <c r="G59" s="56">
        <v>-4697</v>
      </c>
      <c r="H59" s="56"/>
      <c r="I59" s="56"/>
    </row>
    <row r="60" spans="3:14" x14ac:dyDescent="0.25">
      <c r="F60" t="s">
        <v>183</v>
      </c>
      <c r="G60" s="56">
        <v>-2500</v>
      </c>
      <c r="H60" s="56"/>
      <c r="I60" s="56"/>
    </row>
    <row r="61" spans="3:14" x14ac:dyDescent="0.25">
      <c r="F61" t="s">
        <v>184</v>
      </c>
      <c r="G61" s="56">
        <v>-126</v>
      </c>
      <c r="H61" s="56"/>
      <c r="I61" s="56"/>
    </row>
    <row r="62" spans="3:14" x14ac:dyDescent="0.25">
      <c r="F62" t="s">
        <v>185</v>
      </c>
      <c r="G62" s="56">
        <v>4742</v>
      </c>
      <c r="H62" s="56"/>
      <c r="I62" s="56"/>
    </row>
    <row r="63" spans="3:14" x14ac:dyDescent="0.25">
      <c r="F63" t="s">
        <v>166</v>
      </c>
      <c r="G63" s="56">
        <v>-410</v>
      </c>
      <c r="H63" s="56"/>
      <c r="I63" s="56"/>
    </row>
    <row r="64" spans="3:14" x14ac:dyDescent="0.25">
      <c r="G64" s="56"/>
      <c r="H64" s="56"/>
      <c r="I64" s="56"/>
    </row>
    <row r="65" spans="2:9" x14ac:dyDescent="0.25">
      <c r="F65" t="s">
        <v>186</v>
      </c>
      <c r="G65" s="56">
        <v>3320</v>
      </c>
      <c r="H65" s="56"/>
      <c r="I65" s="56"/>
    </row>
    <row r="66" spans="2:9" x14ac:dyDescent="0.25">
      <c r="F66" t="s">
        <v>187</v>
      </c>
      <c r="G66" s="56">
        <v>4090</v>
      </c>
      <c r="H66" s="56"/>
      <c r="I66" s="56"/>
    </row>
    <row r="67" spans="2:9" x14ac:dyDescent="0.25">
      <c r="F67" t="s">
        <v>188</v>
      </c>
      <c r="G67" s="56">
        <v>-5688</v>
      </c>
      <c r="H67" s="56"/>
      <c r="I67" s="56"/>
    </row>
    <row r="68" spans="2:9" x14ac:dyDescent="0.25">
      <c r="F68" t="s">
        <v>153</v>
      </c>
      <c r="G68" s="56">
        <v>-4433</v>
      </c>
      <c r="H68" s="56"/>
      <c r="I68" s="56"/>
    </row>
    <row r="69" spans="2:9" x14ac:dyDescent="0.25">
      <c r="F69" t="s">
        <v>189</v>
      </c>
      <c r="G69" s="56">
        <v>-250</v>
      </c>
      <c r="H69" s="56"/>
      <c r="I69" s="56"/>
    </row>
    <row r="70" spans="2:9" x14ac:dyDescent="0.25">
      <c r="C70" s="56"/>
      <c r="D70" s="56"/>
      <c r="F70" t="s">
        <v>226</v>
      </c>
      <c r="G70" s="56">
        <v>-99</v>
      </c>
      <c r="H70" s="56"/>
      <c r="I70" s="56"/>
    </row>
    <row r="71" spans="2:9" x14ac:dyDescent="0.25">
      <c r="F71" t="s">
        <v>232</v>
      </c>
      <c r="G71" s="56">
        <v>320</v>
      </c>
      <c r="H71" s="56"/>
      <c r="I71" s="56"/>
    </row>
    <row r="72" spans="2:9" x14ac:dyDescent="0.25">
      <c r="F72" t="s">
        <v>233</v>
      </c>
      <c r="G72" s="56">
        <v>-1572</v>
      </c>
      <c r="H72" s="56"/>
      <c r="I72" s="56"/>
    </row>
    <row r="73" spans="2:9" x14ac:dyDescent="0.25">
      <c r="G73" s="56"/>
      <c r="H73" s="56"/>
      <c r="I73" s="56"/>
    </row>
    <row r="74" spans="2:9" x14ac:dyDescent="0.25">
      <c r="G74" s="56"/>
      <c r="H74" s="56"/>
      <c r="I74" s="56"/>
    </row>
    <row r="75" spans="2:9" x14ac:dyDescent="0.25">
      <c r="B75" t="s">
        <v>150</v>
      </c>
      <c r="C75" s="56">
        <v>4433</v>
      </c>
      <c r="D75" s="56"/>
      <c r="G75" s="56"/>
      <c r="H75" s="56"/>
      <c r="I75" s="56"/>
    </row>
    <row r="76" spans="2:9" x14ac:dyDescent="0.25">
      <c r="B76" t="s">
        <v>190</v>
      </c>
      <c r="C76" s="56">
        <v>8000</v>
      </c>
      <c r="D76" s="56"/>
      <c r="G76" s="56"/>
      <c r="H76" s="56"/>
      <c r="I76" s="56"/>
    </row>
    <row r="77" spans="2:9" x14ac:dyDescent="0.25">
      <c r="C77" s="56"/>
      <c r="D77" s="56"/>
      <c r="G77" s="56"/>
      <c r="H77" s="56"/>
      <c r="I77" s="56"/>
    </row>
    <row r="78" spans="2:9" ht="14.25" customHeight="1" x14ac:dyDescent="0.25">
      <c r="B78" t="s">
        <v>191</v>
      </c>
      <c r="C78" s="56">
        <v>-90</v>
      </c>
      <c r="D78" s="56"/>
      <c r="G78" s="56"/>
      <c r="H78" s="56"/>
      <c r="I78" s="56"/>
    </row>
    <row r="79" spans="2:9" x14ac:dyDescent="0.25">
      <c r="B79" t="s">
        <v>192</v>
      </c>
      <c r="C79" s="56">
        <v>1000</v>
      </c>
      <c r="D79" s="56">
        <v>300</v>
      </c>
      <c r="G79" s="56"/>
      <c r="H79" s="56"/>
      <c r="I79" s="56"/>
    </row>
    <row r="80" spans="2:9" x14ac:dyDescent="0.25">
      <c r="B80" t="s">
        <v>193</v>
      </c>
      <c r="C80" s="56">
        <v>8000</v>
      </c>
      <c r="D80" s="56"/>
      <c r="G80" s="56"/>
      <c r="H80" s="56"/>
      <c r="I80" s="56"/>
    </row>
    <row r="81" spans="2:9" x14ac:dyDescent="0.25">
      <c r="C81" s="56"/>
      <c r="D81" s="56"/>
      <c r="G81" s="56"/>
      <c r="H81" s="56"/>
      <c r="I81" s="56"/>
    </row>
    <row r="82" spans="2:9" x14ac:dyDescent="0.25">
      <c r="B82" t="s">
        <v>191</v>
      </c>
      <c r="C82" s="56">
        <v>-90</v>
      </c>
      <c r="D82" s="56"/>
      <c r="G82" s="56"/>
      <c r="H82" s="56"/>
      <c r="I82" s="56"/>
    </row>
    <row r="83" spans="2:9" x14ac:dyDescent="0.25">
      <c r="B83" t="s">
        <v>194</v>
      </c>
      <c r="C83" s="56">
        <v>2000</v>
      </c>
      <c r="D83" s="56">
        <v>300</v>
      </c>
      <c r="G83" s="56"/>
      <c r="H83" s="56"/>
      <c r="I83" s="56"/>
    </row>
    <row r="84" spans="2:9" x14ac:dyDescent="0.25">
      <c r="B84" t="s">
        <v>195</v>
      </c>
      <c r="C84" s="56">
        <v>-12807</v>
      </c>
      <c r="D84" s="56"/>
      <c r="G84" s="56"/>
      <c r="H84" s="56"/>
      <c r="I84" s="56"/>
    </row>
    <row r="85" spans="2:9" x14ac:dyDescent="0.25">
      <c r="C85" s="56"/>
      <c r="D85" s="56"/>
      <c r="G85" s="56"/>
      <c r="H85" s="56"/>
      <c r="I85" s="56"/>
    </row>
    <row r="86" spans="2:9" x14ac:dyDescent="0.25">
      <c r="B86" t="s">
        <v>196</v>
      </c>
      <c r="C86" s="56">
        <v>5520</v>
      </c>
      <c r="D86" s="56"/>
      <c r="G86" s="56"/>
      <c r="H86" s="56"/>
      <c r="I86" s="56"/>
    </row>
    <row r="87" spans="2:9" x14ac:dyDescent="0.25">
      <c r="C87" s="56"/>
      <c r="D87" s="56"/>
      <c r="G87" s="56"/>
      <c r="H87" s="56"/>
      <c r="I87" s="56"/>
    </row>
    <row r="88" spans="2:9" x14ac:dyDescent="0.25">
      <c r="B88" t="s">
        <v>197</v>
      </c>
      <c r="C88" s="56">
        <v>2000</v>
      </c>
      <c r="D88" s="56">
        <v>300</v>
      </c>
      <c r="G88" s="56"/>
      <c r="H88" s="56"/>
      <c r="I88" s="56"/>
    </row>
    <row r="89" spans="2:9" x14ac:dyDescent="0.25">
      <c r="B89" t="s">
        <v>191</v>
      </c>
      <c r="C89" s="56">
        <v>-90</v>
      </c>
      <c r="D89" s="56"/>
      <c r="G89" s="56"/>
      <c r="H89" s="56"/>
      <c r="I89" s="56"/>
    </row>
    <row r="90" spans="2:9" x14ac:dyDescent="0.25">
      <c r="B90" t="s">
        <v>198</v>
      </c>
      <c r="C90" s="56">
        <v>240</v>
      </c>
      <c r="D90" s="56"/>
      <c r="G90" s="56"/>
      <c r="H90" s="56"/>
      <c r="I90" s="56"/>
    </row>
    <row r="91" spans="2:9" x14ac:dyDescent="0.25">
      <c r="C91" s="56"/>
      <c r="D91" s="56"/>
      <c r="G91" s="56"/>
      <c r="H91" s="56"/>
      <c r="I91" s="56"/>
    </row>
    <row r="92" spans="2:9" x14ac:dyDescent="0.25">
      <c r="B92" t="s">
        <v>199</v>
      </c>
      <c r="C92" s="56">
        <v>2000</v>
      </c>
      <c r="D92" s="56">
        <v>300</v>
      </c>
      <c r="G92" s="56"/>
      <c r="H92" s="56"/>
      <c r="I92" s="56"/>
    </row>
    <row r="93" spans="2:9" x14ac:dyDescent="0.25">
      <c r="B93" t="s">
        <v>200</v>
      </c>
      <c r="C93" s="56">
        <v>-50</v>
      </c>
      <c r="D93" s="56"/>
      <c r="G93" s="56"/>
      <c r="H93" s="56"/>
      <c r="I93" s="56"/>
    </row>
    <row r="94" spans="2:9" x14ac:dyDescent="0.25">
      <c r="B94" t="s">
        <v>201</v>
      </c>
      <c r="C94" s="56">
        <v>300</v>
      </c>
      <c r="D94" s="56"/>
      <c r="G94" s="56"/>
      <c r="H94" s="56"/>
      <c r="I94" s="56"/>
    </row>
    <row r="95" spans="2:9" x14ac:dyDescent="0.25">
      <c r="C95" s="56"/>
      <c r="D95" s="56"/>
      <c r="G95" s="56"/>
      <c r="H95" s="56"/>
      <c r="I95" s="56"/>
    </row>
    <row r="96" spans="2:9" x14ac:dyDescent="0.25">
      <c r="B96" t="s">
        <v>202</v>
      </c>
      <c r="C96" s="56">
        <v>2000</v>
      </c>
      <c r="D96" s="56">
        <v>300</v>
      </c>
      <c r="G96" s="56"/>
      <c r="H96" s="56"/>
      <c r="I96" s="56"/>
    </row>
    <row r="97" spans="2:9" x14ac:dyDescent="0.25">
      <c r="B97" t="s">
        <v>203</v>
      </c>
      <c r="C97" s="56">
        <v>8000</v>
      </c>
      <c r="D97" s="56"/>
      <c r="G97" s="56"/>
      <c r="H97" s="56"/>
      <c r="I97" s="56"/>
    </row>
    <row r="98" spans="2:9" x14ac:dyDescent="0.25">
      <c r="B98" t="s">
        <v>204</v>
      </c>
      <c r="C98" s="56">
        <v>4180</v>
      </c>
      <c r="D98" s="56"/>
      <c r="G98" s="56"/>
      <c r="H98" s="56"/>
      <c r="I98" s="56"/>
    </row>
    <row r="99" spans="2:9" x14ac:dyDescent="0.25">
      <c r="C99" s="56"/>
      <c r="D99" s="56"/>
      <c r="G99" s="56"/>
      <c r="H99" s="56"/>
      <c r="I99" s="56"/>
    </row>
    <row r="100" spans="2:9" x14ac:dyDescent="0.25">
      <c r="B100" t="s">
        <v>205</v>
      </c>
      <c r="C100" s="56">
        <v>2000</v>
      </c>
      <c r="D100" s="56">
        <v>300</v>
      </c>
      <c r="G100" s="56"/>
      <c r="H100" s="56"/>
      <c r="I100" s="56"/>
    </row>
    <row r="101" spans="2:9" x14ac:dyDescent="0.25">
      <c r="B101" t="s">
        <v>206</v>
      </c>
      <c r="C101" s="56">
        <v>2000</v>
      </c>
      <c r="D101" s="56">
        <v>300</v>
      </c>
      <c r="G101" s="56"/>
      <c r="H101" s="56"/>
      <c r="I101" s="56"/>
    </row>
    <row r="102" spans="2:9" x14ac:dyDescent="0.25">
      <c r="B102" t="s">
        <v>207</v>
      </c>
      <c r="C102" s="56">
        <v>2000</v>
      </c>
      <c r="D102" s="56">
        <v>300</v>
      </c>
      <c r="G102" s="56"/>
      <c r="H102" s="56"/>
      <c r="I102" s="56"/>
    </row>
    <row r="103" spans="2:9" x14ac:dyDescent="0.25">
      <c r="C103" s="56"/>
      <c r="D103" s="56"/>
      <c r="G103" s="56"/>
      <c r="H103" s="56"/>
      <c r="I103" s="56"/>
    </row>
    <row r="104" spans="2:9" x14ac:dyDescent="0.25">
      <c r="B104" t="s">
        <v>208</v>
      </c>
      <c r="C104" s="56">
        <v>-20000</v>
      </c>
      <c r="D104" s="56"/>
      <c r="G104" s="56"/>
      <c r="H104" s="56"/>
      <c r="I104" s="56"/>
    </row>
    <row r="105" spans="2:9" x14ac:dyDescent="0.25">
      <c r="C105" s="56"/>
      <c r="D105" s="56"/>
      <c r="G105" s="56"/>
      <c r="H105" s="56"/>
      <c r="I105" s="56"/>
    </row>
    <row r="106" spans="2:9" x14ac:dyDescent="0.25">
      <c r="B106" t="s">
        <v>209</v>
      </c>
      <c r="C106" s="56">
        <v>2000</v>
      </c>
      <c r="D106" s="56">
        <v>300</v>
      </c>
      <c r="G106" s="56"/>
      <c r="H106" s="56"/>
      <c r="I106" s="56"/>
    </row>
    <row r="107" spans="2:9" x14ac:dyDescent="0.25">
      <c r="B107" t="s">
        <v>210</v>
      </c>
      <c r="C107" s="56">
        <v>2000</v>
      </c>
      <c r="D107" s="56">
        <v>300</v>
      </c>
      <c r="G107" s="56"/>
      <c r="H107" s="56"/>
      <c r="I107" s="56"/>
    </row>
    <row r="108" spans="2:9" x14ac:dyDescent="0.25">
      <c r="B108" t="s">
        <v>211</v>
      </c>
      <c r="C108" s="56">
        <v>8000</v>
      </c>
      <c r="D108" s="56"/>
      <c r="G108" s="56"/>
      <c r="H108" s="56"/>
      <c r="I108" s="56"/>
    </row>
    <row r="109" spans="2:9" x14ac:dyDescent="0.25">
      <c r="B109" t="s">
        <v>212</v>
      </c>
      <c r="C109" s="56">
        <v>2000</v>
      </c>
      <c r="D109" s="56">
        <v>300</v>
      </c>
      <c r="G109" s="56"/>
      <c r="H109" s="56"/>
      <c r="I109" s="56"/>
    </row>
    <row r="110" spans="2:9" x14ac:dyDescent="0.25">
      <c r="B110" t="s">
        <v>213</v>
      </c>
      <c r="C110" s="56">
        <v>2000</v>
      </c>
      <c r="D110" s="56">
        <v>300</v>
      </c>
      <c r="G110" s="56"/>
      <c r="H110" s="56"/>
      <c r="I110" s="56"/>
    </row>
    <row r="111" spans="2:9" x14ac:dyDescent="0.25">
      <c r="G111" s="56"/>
      <c r="H111" s="56"/>
      <c r="I111" s="56"/>
    </row>
    <row r="112" spans="2:9" x14ac:dyDescent="0.25">
      <c r="G112" s="56"/>
      <c r="H112" s="56"/>
      <c r="I112" s="56"/>
    </row>
    <row r="113" spans="5:9" x14ac:dyDescent="0.25">
      <c r="G113" s="56"/>
      <c r="H113" s="56"/>
      <c r="I113" s="56"/>
    </row>
    <row r="114" spans="5:9" x14ac:dyDescent="0.25">
      <c r="G114" s="56"/>
      <c r="H114" s="56"/>
      <c r="I114" s="56"/>
    </row>
    <row r="115" spans="5:9" x14ac:dyDescent="0.25">
      <c r="G115" s="56"/>
      <c r="H115" s="56"/>
      <c r="I115" s="56"/>
    </row>
    <row r="116" spans="5:9" x14ac:dyDescent="0.25">
      <c r="G116" s="56"/>
      <c r="H116" s="56"/>
      <c r="I116" s="56"/>
    </row>
    <row r="117" spans="5:9" x14ac:dyDescent="0.25">
      <c r="G117" s="56"/>
      <c r="H117" s="56"/>
      <c r="I117" s="56"/>
    </row>
    <row r="118" spans="5:9" x14ac:dyDescent="0.25">
      <c r="E118" s="2"/>
      <c r="G118" s="56"/>
      <c r="H118" s="56"/>
      <c r="I118" s="56"/>
    </row>
    <row r="119" spans="5:9" x14ac:dyDescent="0.25">
      <c r="G119" s="56"/>
      <c r="H119" s="56"/>
      <c r="I119" s="56"/>
    </row>
    <row r="120" spans="5:9" x14ac:dyDescent="0.25">
      <c r="G120" s="56"/>
      <c r="H120" s="56"/>
      <c r="I120" s="56"/>
    </row>
    <row r="121" spans="5:9" x14ac:dyDescent="0.25">
      <c r="G121" s="56"/>
      <c r="H121" s="56"/>
      <c r="I121" s="56"/>
    </row>
    <row r="122" spans="5:9" x14ac:dyDescent="0.25">
      <c r="G122" s="56"/>
      <c r="H122" s="56"/>
      <c r="I122" s="56"/>
    </row>
    <row r="123" spans="5:9" x14ac:dyDescent="0.25">
      <c r="G123" s="56"/>
      <c r="H123" s="56"/>
      <c r="I123" s="56"/>
    </row>
    <row r="124" spans="5:9" x14ac:dyDescent="0.25">
      <c r="G124" s="56"/>
      <c r="H124" s="56"/>
      <c r="I124" s="56"/>
    </row>
    <row r="125" spans="5:9" x14ac:dyDescent="0.25">
      <c r="G125" s="56"/>
      <c r="H125" s="56"/>
      <c r="I125" s="56"/>
    </row>
    <row r="126" spans="5:9" x14ac:dyDescent="0.25">
      <c r="G126" s="56"/>
      <c r="H126" s="56"/>
      <c r="I126" s="56"/>
    </row>
    <row r="127" spans="5:9" x14ac:dyDescent="0.25">
      <c r="G127" s="56"/>
      <c r="H127" s="56"/>
      <c r="I127" s="56"/>
    </row>
    <row r="128" spans="5:9" x14ac:dyDescent="0.25">
      <c r="G128" s="56"/>
      <c r="H128" s="56"/>
      <c r="I128" s="56"/>
    </row>
    <row r="129" spans="7:9" x14ac:dyDescent="0.25">
      <c r="G129" s="56"/>
      <c r="H129" s="56"/>
      <c r="I129" s="56"/>
    </row>
    <row r="130" spans="7:9" x14ac:dyDescent="0.25">
      <c r="G130" s="56"/>
      <c r="H130" s="56"/>
      <c r="I130" s="56"/>
    </row>
    <row r="131" spans="7:9" x14ac:dyDescent="0.25">
      <c r="G131" s="56"/>
      <c r="H131" s="56"/>
      <c r="I131" s="56"/>
    </row>
    <row r="132" spans="7:9" x14ac:dyDescent="0.25">
      <c r="G132" s="56"/>
      <c r="H132" s="56"/>
      <c r="I132" s="56"/>
    </row>
    <row r="133" spans="7:9" x14ac:dyDescent="0.25">
      <c r="G133" s="56"/>
      <c r="H133" s="56"/>
      <c r="I133" s="56"/>
    </row>
    <row r="134" spans="7:9" x14ac:dyDescent="0.25">
      <c r="G134" s="56"/>
      <c r="H134" s="56"/>
      <c r="I134" s="56"/>
    </row>
    <row r="135" spans="7:9" x14ac:dyDescent="0.25">
      <c r="G135" s="56"/>
      <c r="H135" s="56"/>
      <c r="I135" s="56"/>
    </row>
    <row r="136" spans="7:9" x14ac:dyDescent="0.25">
      <c r="G136" s="56"/>
      <c r="H136" s="56"/>
      <c r="I136" s="56"/>
    </row>
    <row r="137" spans="7:9" x14ac:dyDescent="0.25">
      <c r="G137" s="56"/>
      <c r="H137" s="56"/>
      <c r="I137" s="56"/>
    </row>
    <row r="138" spans="7:9" x14ac:dyDescent="0.25">
      <c r="G138" s="56"/>
      <c r="H138" s="56"/>
      <c r="I138" s="56"/>
    </row>
    <row r="139" spans="7:9" x14ac:dyDescent="0.25">
      <c r="G139" s="56"/>
      <c r="H139" s="56"/>
      <c r="I139" s="56"/>
    </row>
    <row r="140" spans="7:9" x14ac:dyDescent="0.25">
      <c r="G140" s="56"/>
      <c r="H140" s="56"/>
      <c r="I140" s="56"/>
    </row>
    <row r="141" spans="7:9" x14ac:dyDescent="0.25">
      <c r="G141" s="56"/>
      <c r="H141" s="56"/>
      <c r="I141" s="56"/>
    </row>
    <row r="142" spans="7:9" x14ac:dyDescent="0.25">
      <c r="G142" s="56"/>
      <c r="H142" s="56"/>
      <c r="I142" s="56"/>
    </row>
    <row r="143" spans="7:9" x14ac:dyDescent="0.25">
      <c r="G143" s="56"/>
      <c r="H143" s="56"/>
      <c r="I143" s="56"/>
    </row>
    <row r="144" spans="7:9" x14ac:dyDescent="0.25">
      <c r="G144" s="56"/>
      <c r="H144" s="56"/>
      <c r="I144" s="56"/>
    </row>
    <row r="145" spans="7:9" x14ac:dyDescent="0.25">
      <c r="G145" s="56"/>
      <c r="H145" s="56"/>
      <c r="I145" s="56"/>
    </row>
    <row r="146" spans="7:9" x14ac:dyDescent="0.25">
      <c r="G146" s="56"/>
      <c r="H146" s="56"/>
      <c r="I146" s="56"/>
    </row>
    <row r="147" spans="7:9" x14ac:dyDescent="0.25">
      <c r="G147" s="56"/>
      <c r="H147" s="56"/>
      <c r="I147" s="56"/>
    </row>
    <row r="148" spans="7:9" x14ac:dyDescent="0.25">
      <c r="G148" s="56"/>
      <c r="H148" s="56"/>
      <c r="I148" s="56"/>
    </row>
    <row r="149" spans="7:9" x14ac:dyDescent="0.25">
      <c r="G149" s="56"/>
      <c r="H149" s="56"/>
      <c r="I149" s="56"/>
    </row>
    <row r="150" spans="7:9" x14ac:dyDescent="0.25">
      <c r="G150" s="56"/>
      <c r="H150" s="56"/>
      <c r="I150" s="56"/>
    </row>
    <row r="151" spans="7:9" x14ac:dyDescent="0.25">
      <c r="G151" s="56"/>
      <c r="H151" s="56"/>
      <c r="I151" s="56"/>
    </row>
    <row r="152" spans="7:9" x14ac:dyDescent="0.25">
      <c r="G152" s="56"/>
      <c r="H152" s="56"/>
      <c r="I152" s="56"/>
    </row>
    <row r="153" spans="7:9" x14ac:dyDescent="0.25">
      <c r="G153" s="56"/>
      <c r="H153" s="56"/>
      <c r="I153" s="56"/>
    </row>
    <row r="154" spans="7:9" x14ac:dyDescent="0.25">
      <c r="G154" s="56"/>
      <c r="H154" s="56"/>
      <c r="I154" s="56"/>
    </row>
    <row r="155" spans="7:9" x14ac:dyDescent="0.25">
      <c r="G155" s="56"/>
      <c r="H155" s="56"/>
      <c r="I155" s="56"/>
    </row>
    <row r="156" spans="7:9" x14ac:dyDescent="0.25">
      <c r="G156" s="56"/>
      <c r="H156" s="56"/>
      <c r="I156" s="56"/>
    </row>
    <row r="157" spans="7:9" x14ac:dyDescent="0.25">
      <c r="G157" s="56"/>
      <c r="H157" s="56"/>
      <c r="I157" s="56"/>
    </row>
    <row r="158" spans="7:9" x14ac:dyDescent="0.25">
      <c r="G158" s="56"/>
      <c r="H158" s="56"/>
      <c r="I158" s="56"/>
    </row>
    <row r="159" spans="7:9" x14ac:dyDescent="0.25">
      <c r="G159" s="56"/>
      <c r="H159" s="56"/>
      <c r="I159" s="56"/>
    </row>
    <row r="160" spans="7:9" x14ac:dyDescent="0.25">
      <c r="G160" s="56"/>
      <c r="H160" s="56"/>
      <c r="I160" s="56"/>
    </row>
    <row r="161" spans="7:9" x14ac:dyDescent="0.25">
      <c r="G161" s="56"/>
      <c r="H161" s="56"/>
      <c r="I161" s="56"/>
    </row>
    <row r="162" spans="7:9" x14ac:dyDescent="0.25">
      <c r="G162" s="56"/>
      <c r="H162" s="56"/>
      <c r="I162" s="56"/>
    </row>
    <row r="163" spans="7:9" x14ac:dyDescent="0.25">
      <c r="G163" s="56"/>
      <c r="H163" s="56"/>
      <c r="I163" s="56"/>
    </row>
    <row r="164" spans="7:9" x14ac:dyDescent="0.25">
      <c r="G164" s="56"/>
      <c r="H164" s="56"/>
      <c r="I164" s="56"/>
    </row>
    <row r="165" spans="7:9" x14ac:dyDescent="0.25">
      <c r="G165" s="56"/>
      <c r="H165" s="56"/>
      <c r="I165" s="56"/>
    </row>
    <row r="166" spans="7:9" x14ac:dyDescent="0.25">
      <c r="G166" s="56"/>
      <c r="H166" s="56"/>
      <c r="I166" s="56"/>
    </row>
    <row r="167" spans="7:9" x14ac:dyDescent="0.25">
      <c r="G167" s="56"/>
      <c r="H167" s="56"/>
      <c r="I167" s="56"/>
    </row>
    <row r="168" spans="7:9" x14ac:dyDescent="0.25">
      <c r="G168" s="56"/>
      <c r="H168" s="56"/>
      <c r="I168" s="56"/>
    </row>
    <row r="169" spans="7:9" x14ac:dyDescent="0.25">
      <c r="G169" s="56"/>
      <c r="H169" s="56"/>
      <c r="I169" s="56"/>
    </row>
    <row r="170" spans="7:9" x14ac:dyDescent="0.25">
      <c r="G170" s="56"/>
      <c r="H170" s="56"/>
      <c r="I170" s="56"/>
    </row>
    <row r="171" spans="7:9" x14ac:dyDescent="0.25">
      <c r="G171" s="56"/>
      <c r="H171" s="56"/>
      <c r="I171" s="56"/>
    </row>
    <row r="172" spans="7:9" x14ac:dyDescent="0.25">
      <c r="G172" s="56"/>
      <c r="H172" s="56"/>
      <c r="I172" s="56"/>
    </row>
    <row r="173" spans="7:9" x14ac:dyDescent="0.25">
      <c r="G173" s="56"/>
      <c r="H173" s="56"/>
      <c r="I173" s="56"/>
    </row>
    <row r="174" spans="7:9" x14ac:dyDescent="0.25">
      <c r="G174" s="56"/>
      <c r="H174" s="56"/>
      <c r="I174" s="56"/>
    </row>
    <row r="175" spans="7:9" x14ac:dyDescent="0.25">
      <c r="G175" s="56"/>
      <c r="H175" s="56"/>
      <c r="I175" s="56"/>
    </row>
    <row r="176" spans="7:9" x14ac:dyDescent="0.25">
      <c r="G176" s="56"/>
      <c r="H176" s="56"/>
      <c r="I176" s="56"/>
    </row>
    <row r="177" spans="7:9" x14ac:dyDescent="0.25">
      <c r="G177" s="56"/>
      <c r="H177" s="56"/>
      <c r="I177" s="56"/>
    </row>
    <row r="178" spans="7:9" x14ac:dyDescent="0.25">
      <c r="G178" s="56"/>
      <c r="H178" s="56"/>
      <c r="I178" s="56"/>
    </row>
    <row r="179" spans="7:9" x14ac:dyDescent="0.25">
      <c r="G179" s="56"/>
      <c r="H179" s="56"/>
      <c r="I179" s="56"/>
    </row>
    <row r="180" spans="7:9" x14ac:dyDescent="0.25">
      <c r="G180" s="56"/>
      <c r="H180" s="56"/>
      <c r="I180" s="56"/>
    </row>
    <row r="181" spans="7:9" x14ac:dyDescent="0.25">
      <c r="G181" s="56"/>
      <c r="H181" s="56"/>
      <c r="I181" s="56"/>
    </row>
    <row r="182" spans="7:9" x14ac:dyDescent="0.25">
      <c r="G182" s="56"/>
      <c r="H182" s="56"/>
      <c r="I182" s="56"/>
    </row>
    <row r="183" spans="7:9" x14ac:dyDescent="0.25">
      <c r="G183" s="56"/>
      <c r="H183" s="56"/>
      <c r="I183" s="56"/>
    </row>
    <row r="184" spans="7:9" x14ac:dyDescent="0.25">
      <c r="G184" s="56"/>
      <c r="H184" s="56"/>
      <c r="I184" s="56"/>
    </row>
    <row r="185" spans="7:9" x14ac:dyDescent="0.25">
      <c r="G185" s="56"/>
      <c r="H185" s="56"/>
      <c r="I185" s="56"/>
    </row>
    <row r="186" spans="7:9" x14ac:dyDescent="0.25">
      <c r="G186" s="56"/>
      <c r="H186" s="56"/>
      <c r="I186" s="56"/>
    </row>
    <row r="187" spans="7:9" x14ac:dyDescent="0.25">
      <c r="G187" s="56"/>
      <c r="H187" s="56"/>
      <c r="I187" s="56"/>
    </row>
    <row r="188" spans="7:9" x14ac:dyDescent="0.25">
      <c r="G188" s="56"/>
      <c r="H188" s="56"/>
      <c r="I188" s="56"/>
    </row>
    <row r="189" spans="7:9" x14ac:dyDescent="0.25">
      <c r="G189" s="56"/>
      <c r="H189" s="56"/>
      <c r="I189" s="56"/>
    </row>
    <row r="190" spans="7:9" x14ac:dyDescent="0.25">
      <c r="G190" s="56"/>
      <c r="H190" s="56"/>
      <c r="I190" s="56"/>
    </row>
    <row r="191" spans="7:9" x14ac:dyDescent="0.25">
      <c r="G191" s="56"/>
      <c r="H191" s="56"/>
      <c r="I191" s="56"/>
    </row>
    <row r="192" spans="7:9" x14ac:dyDescent="0.25">
      <c r="G192" s="56"/>
      <c r="H192" s="56"/>
      <c r="I192" s="56"/>
    </row>
    <row r="193" spans="7:9" x14ac:dyDescent="0.25">
      <c r="G193" s="56"/>
      <c r="H193" s="56"/>
      <c r="I193" s="56"/>
    </row>
    <row r="194" spans="7:9" x14ac:dyDescent="0.25">
      <c r="G194" s="56"/>
      <c r="H194" s="56"/>
      <c r="I194" s="56"/>
    </row>
    <row r="195" spans="7:9" x14ac:dyDescent="0.25">
      <c r="G195" s="56"/>
      <c r="H195" s="56"/>
      <c r="I195" s="56"/>
    </row>
    <row r="196" spans="7:9" x14ac:dyDescent="0.25">
      <c r="G196" s="56"/>
      <c r="H196" s="56"/>
      <c r="I196" s="56"/>
    </row>
    <row r="197" spans="7:9" x14ac:dyDescent="0.25">
      <c r="G197" s="56"/>
      <c r="H197" s="56"/>
      <c r="I197" s="56"/>
    </row>
    <row r="198" spans="7:9" x14ac:dyDescent="0.25">
      <c r="G198" s="56"/>
      <c r="H198" s="56"/>
      <c r="I198" s="56"/>
    </row>
    <row r="199" spans="7:9" x14ac:dyDescent="0.25">
      <c r="G199" s="56"/>
      <c r="H199" s="56"/>
      <c r="I199" s="56"/>
    </row>
    <row r="200" spans="7:9" x14ac:dyDescent="0.25">
      <c r="G200" s="56"/>
      <c r="H200" s="56"/>
      <c r="I200" s="56"/>
    </row>
    <row r="201" spans="7:9" x14ac:dyDescent="0.25">
      <c r="G201" s="56"/>
      <c r="H201" s="56"/>
      <c r="I201" s="56"/>
    </row>
    <row r="202" spans="7:9" x14ac:dyDescent="0.25">
      <c r="G202" s="56"/>
      <c r="H202" s="56"/>
      <c r="I202" s="56"/>
    </row>
    <row r="203" spans="7:9" x14ac:dyDescent="0.25">
      <c r="G203" s="56"/>
      <c r="H203" s="56"/>
      <c r="I203" s="56"/>
    </row>
    <row r="204" spans="7:9" x14ac:dyDescent="0.25">
      <c r="G204" s="56"/>
      <c r="H204" s="56"/>
      <c r="I204" s="56"/>
    </row>
    <row r="205" spans="7:9" x14ac:dyDescent="0.25">
      <c r="G205" s="56"/>
      <c r="H205" s="56"/>
      <c r="I205" s="56"/>
    </row>
    <row r="206" spans="7:9" x14ac:dyDescent="0.25">
      <c r="G206" s="56"/>
      <c r="H206" s="56"/>
      <c r="I206" s="56"/>
    </row>
    <row r="207" spans="7:9" x14ac:dyDescent="0.25">
      <c r="G207" s="56"/>
      <c r="H207" s="56"/>
      <c r="I207" s="56"/>
    </row>
    <row r="208" spans="7:9" x14ac:dyDescent="0.25">
      <c r="G208" s="56"/>
      <c r="H208" s="56"/>
      <c r="I208" s="56"/>
    </row>
    <row r="209" spans="7:9" x14ac:dyDescent="0.25">
      <c r="G209" s="56"/>
      <c r="H209" s="56"/>
      <c r="I209" s="56"/>
    </row>
    <row r="210" spans="7:9" x14ac:dyDescent="0.25">
      <c r="G210" s="56"/>
      <c r="H210" s="56"/>
      <c r="I210" s="56"/>
    </row>
    <row r="211" spans="7:9" x14ac:dyDescent="0.25">
      <c r="G211" s="56"/>
      <c r="H211" s="56"/>
      <c r="I211" s="56"/>
    </row>
    <row r="212" spans="7:9" x14ac:dyDescent="0.25">
      <c r="G212" s="56"/>
      <c r="H212" s="56"/>
      <c r="I212" s="56"/>
    </row>
    <row r="213" spans="7:9" x14ac:dyDescent="0.25">
      <c r="G213" s="56"/>
      <c r="H213" s="56"/>
      <c r="I213" s="56"/>
    </row>
    <row r="214" spans="7:9" x14ac:dyDescent="0.25">
      <c r="G214" s="56"/>
      <c r="H214" s="56"/>
      <c r="I214" s="56"/>
    </row>
    <row r="215" spans="7:9" x14ac:dyDescent="0.25">
      <c r="G215" s="56"/>
      <c r="H215" s="56"/>
      <c r="I215" s="56"/>
    </row>
    <row r="216" spans="7:9" x14ac:dyDescent="0.25">
      <c r="G216" s="56"/>
      <c r="H216" s="56"/>
      <c r="I216" s="56"/>
    </row>
    <row r="217" spans="7:9" x14ac:dyDescent="0.25">
      <c r="G217" s="56"/>
      <c r="H217" s="56"/>
      <c r="I217" s="56"/>
    </row>
    <row r="218" spans="7:9" x14ac:dyDescent="0.25">
      <c r="G218" s="56"/>
      <c r="H218" s="56"/>
      <c r="I218" s="56"/>
    </row>
    <row r="219" spans="7:9" x14ac:dyDescent="0.25">
      <c r="G219" s="56"/>
      <c r="H219" s="56"/>
      <c r="I219" s="56"/>
    </row>
    <row r="220" spans="7:9" x14ac:dyDescent="0.25">
      <c r="G220" s="56"/>
      <c r="H220" s="56"/>
      <c r="I220" s="56"/>
    </row>
    <row r="221" spans="7:9" x14ac:dyDescent="0.25">
      <c r="G221" s="56"/>
      <c r="H221" s="56"/>
      <c r="I221" s="56"/>
    </row>
    <row r="222" spans="7:9" x14ac:dyDescent="0.25">
      <c r="G222" s="56"/>
      <c r="H222" s="56"/>
      <c r="I222" s="56"/>
    </row>
    <row r="223" spans="7:9" x14ac:dyDescent="0.25">
      <c r="G223" s="56"/>
      <c r="H223" s="56"/>
      <c r="I223" s="56"/>
    </row>
    <row r="224" spans="7:9" x14ac:dyDescent="0.25">
      <c r="G224" s="56"/>
      <c r="H224" s="56"/>
      <c r="I224" s="56"/>
    </row>
    <row r="225" spans="7:9" x14ac:dyDescent="0.25">
      <c r="G225" s="56"/>
      <c r="H225" s="56"/>
      <c r="I225" s="56"/>
    </row>
    <row r="226" spans="7:9" x14ac:dyDescent="0.25">
      <c r="G226" s="56"/>
      <c r="H226" s="56"/>
      <c r="I226" s="56"/>
    </row>
    <row r="227" spans="7:9" x14ac:dyDescent="0.25">
      <c r="G227" s="56"/>
      <c r="H227" s="56"/>
      <c r="I227" s="56"/>
    </row>
    <row r="228" spans="7:9" x14ac:dyDescent="0.25">
      <c r="G228" s="56"/>
      <c r="H228" s="56"/>
      <c r="I228" s="56"/>
    </row>
    <row r="229" spans="7:9" x14ac:dyDescent="0.25">
      <c r="G229" s="56"/>
      <c r="H229" s="56"/>
      <c r="I229" s="56"/>
    </row>
    <row r="230" spans="7:9" x14ac:dyDescent="0.25">
      <c r="G230" s="56"/>
      <c r="H230" s="56"/>
      <c r="I230" s="56"/>
    </row>
    <row r="231" spans="7:9" x14ac:dyDescent="0.25">
      <c r="G231" s="56"/>
      <c r="H231" s="56"/>
      <c r="I231" s="56"/>
    </row>
    <row r="232" spans="7:9" x14ac:dyDescent="0.25">
      <c r="G232" s="56"/>
      <c r="H232" s="56"/>
      <c r="I232" s="56"/>
    </row>
    <row r="233" spans="7:9" x14ac:dyDescent="0.25">
      <c r="G233" s="56"/>
      <c r="H233" s="56"/>
      <c r="I233" s="56"/>
    </row>
    <row r="234" spans="7:9" x14ac:dyDescent="0.25">
      <c r="G234" s="56"/>
      <c r="H234" s="56"/>
      <c r="I234" s="56"/>
    </row>
    <row r="235" spans="7:9" x14ac:dyDescent="0.25">
      <c r="G235" s="56"/>
      <c r="H235" s="56"/>
      <c r="I235" s="56"/>
    </row>
    <row r="236" spans="7:9" x14ac:dyDescent="0.25">
      <c r="G236" s="56"/>
      <c r="H236" s="56"/>
      <c r="I236" s="56"/>
    </row>
    <row r="237" spans="7:9" x14ac:dyDescent="0.25">
      <c r="G237" s="56"/>
      <c r="H237" s="56"/>
      <c r="I237" s="56"/>
    </row>
    <row r="238" spans="7:9" x14ac:dyDescent="0.25">
      <c r="G238" s="56"/>
      <c r="H238" s="56"/>
      <c r="I238" s="56"/>
    </row>
    <row r="239" spans="7:9" x14ac:dyDescent="0.25">
      <c r="G239" s="56"/>
      <c r="H239" s="56"/>
      <c r="I239" s="56"/>
    </row>
    <row r="240" spans="7:9" x14ac:dyDescent="0.25">
      <c r="G240" s="56"/>
      <c r="H240" s="56"/>
      <c r="I240" s="56"/>
    </row>
    <row r="241" spans="7:9" x14ac:dyDescent="0.25">
      <c r="G241" s="56"/>
      <c r="H241" s="56"/>
      <c r="I241" s="56"/>
    </row>
    <row r="242" spans="7:9" x14ac:dyDescent="0.25">
      <c r="G242" s="56"/>
      <c r="H242" s="56"/>
      <c r="I242" s="56"/>
    </row>
    <row r="243" spans="7:9" x14ac:dyDescent="0.25">
      <c r="G243" s="56"/>
      <c r="H243" s="56"/>
      <c r="I243" s="56"/>
    </row>
    <row r="244" spans="7:9" x14ac:dyDescent="0.25">
      <c r="G244" s="56"/>
      <c r="H244" s="56"/>
      <c r="I244" s="56"/>
    </row>
    <row r="245" spans="7:9" x14ac:dyDescent="0.25">
      <c r="G245" s="56"/>
      <c r="H245" s="56"/>
      <c r="I245" s="56"/>
    </row>
    <row r="246" spans="7:9" x14ac:dyDescent="0.25">
      <c r="G246" s="56"/>
      <c r="H246" s="56"/>
      <c r="I246" s="56"/>
    </row>
    <row r="247" spans="7:9" x14ac:dyDescent="0.25">
      <c r="G247" s="56"/>
      <c r="H247" s="56"/>
      <c r="I247" s="56"/>
    </row>
    <row r="248" spans="7:9" x14ac:dyDescent="0.25">
      <c r="G248" s="56"/>
      <c r="H248" s="56"/>
      <c r="I248" s="56"/>
    </row>
    <row r="249" spans="7:9" x14ac:dyDescent="0.25">
      <c r="G249" s="56"/>
      <c r="H249" s="56"/>
      <c r="I249" s="56"/>
    </row>
    <row r="250" spans="7:9" x14ac:dyDescent="0.25">
      <c r="G250" s="56"/>
      <c r="H250" s="56"/>
      <c r="I250" s="56"/>
    </row>
    <row r="251" spans="7:9" x14ac:dyDescent="0.25">
      <c r="G251" s="56"/>
      <c r="H251" s="56"/>
      <c r="I251" s="56"/>
    </row>
    <row r="252" spans="7:9" x14ac:dyDescent="0.25">
      <c r="G252" s="56"/>
      <c r="H252" s="56"/>
      <c r="I252" s="56"/>
    </row>
    <row r="253" spans="7:9" x14ac:dyDescent="0.25">
      <c r="G253" s="56"/>
      <c r="H253" s="56"/>
      <c r="I253" s="56"/>
    </row>
    <row r="254" spans="7:9" x14ac:dyDescent="0.25">
      <c r="G254" s="56"/>
      <c r="H254" s="56"/>
      <c r="I254" s="56"/>
    </row>
    <row r="255" spans="7:9" x14ac:dyDescent="0.25">
      <c r="G255" s="56"/>
      <c r="H255" s="56"/>
      <c r="I255" s="56"/>
    </row>
    <row r="256" spans="7:9" x14ac:dyDescent="0.25">
      <c r="G256" s="56"/>
      <c r="H256" s="56"/>
      <c r="I256" s="56"/>
    </row>
    <row r="257" spans="7:9" x14ac:dyDescent="0.25">
      <c r="G257" s="56"/>
      <c r="H257" s="1"/>
      <c r="I257" s="1"/>
    </row>
    <row r="258" spans="7:9" x14ac:dyDescent="0.25">
      <c r="G258" s="56"/>
      <c r="H258" s="1"/>
      <c r="I258" s="1"/>
    </row>
    <row r="259" spans="7:9" x14ac:dyDescent="0.25">
      <c r="G259" s="56"/>
      <c r="H259" s="1"/>
      <c r="I259" s="1"/>
    </row>
    <row r="260" spans="7:9" x14ac:dyDescent="0.25">
      <c r="G260" s="56"/>
      <c r="H260" s="1"/>
      <c r="I260" s="1"/>
    </row>
    <row r="261" spans="7:9" x14ac:dyDescent="0.25">
      <c r="G261" s="56"/>
      <c r="H261" s="1"/>
      <c r="I261" s="1"/>
    </row>
    <row r="262" spans="7:9" x14ac:dyDescent="0.25">
      <c r="G262" s="56"/>
      <c r="H262" s="1"/>
      <c r="I262" s="1"/>
    </row>
    <row r="263" spans="7:9" x14ac:dyDescent="0.25">
      <c r="G263" s="56"/>
      <c r="H263" s="1"/>
      <c r="I263" s="1"/>
    </row>
    <row r="264" spans="7:9" x14ac:dyDescent="0.25">
      <c r="G264" s="56"/>
      <c r="H264" s="1"/>
      <c r="I264" s="1"/>
    </row>
    <row r="265" spans="7:9" x14ac:dyDescent="0.25">
      <c r="G265" s="56"/>
      <c r="H265" s="1"/>
      <c r="I265" s="1"/>
    </row>
    <row r="266" spans="7:9" x14ac:dyDescent="0.25">
      <c r="G266" s="56"/>
      <c r="H266" s="1"/>
      <c r="I266" s="1"/>
    </row>
    <row r="267" spans="7:9" x14ac:dyDescent="0.25">
      <c r="G267" s="56"/>
    </row>
    <row r="268" spans="7:9" x14ac:dyDescent="0.25">
      <c r="G268" s="56"/>
    </row>
    <row r="269" spans="7:9" x14ac:dyDescent="0.25">
      <c r="G269" s="56"/>
    </row>
    <row r="270" spans="7:9" x14ac:dyDescent="0.25">
      <c r="G270" s="56"/>
    </row>
    <row r="271" spans="7:9" x14ac:dyDescent="0.25">
      <c r="G271" s="56"/>
    </row>
    <row r="272" spans="7:9" x14ac:dyDescent="0.25">
      <c r="G272" s="56"/>
    </row>
    <row r="273" spans="7:7" x14ac:dyDescent="0.25">
      <c r="G273" s="56"/>
    </row>
    <row r="274" spans="7:7" x14ac:dyDescent="0.25">
      <c r="G274" s="56"/>
    </row>
    <row r="275" spans="7:7" x14ac:dyDescent="0.25">
      <c r="G275" s="56"/>
    </row>
    <row r="276" spans="7:7" x14ac:dyDescent="0.25">
      <c r="G276" s="56"/>
    </row>
    <row r="277" spans="7:7" x14ac:dyDescent="0.25">
      <c r="G277" s="56"/>
    </row>
    <row r="278" spans="7:7" x14ac:dyDescent="0.25">
      <c r="G278" s="56"/>
    </row>
    <row r="279" spans="7:7" x14ac:dyDescent="0.25">
      <c r="G279" s="56"/>
    </row>
    <row r="280" spans="7:7" x14ac:dyDescent="0.25">
      <c r="G280" s="56"/>
    </row>
    <row r="281" spans="7:7" x14ac:dyDescent="0.25">
      <c r="G281" s="56"/>
    </row>
    <row r="282" spans="7:7" x14ac:dyDescent="0.25">
      <c r="G282" s="56"/>
    </row>
    <row r="283" spans="7:7" x14ac:dyDescent="0.25">
      <c r="G283" s="56"/>
    </row>
    <row r="284" spans="7:7" x14ac:dyDescent="0.25">
      <c r="G284" s="56"/>
    </row>
    <row r="285" spans="7:7" x14ac:dyDescent="0.25">
      <c r="G285" s="56"/>
    </row>
    <row r="286" spans="7:7" x14ac:dyDescent="0.25">
      <c r="G286" s="56"/>
    </row>
    <row r="287" spans="7:7" x14ac:dyDescent="0.25">
      <c r="G287" s="56"/>
    </row>
    <row r="288" spans="7:7" x14ac:dyDescent="0.25">
      <c r="G288" s="56"/>
    </row>
    <row r="289" spans="7:7" x14ac:dyDescent="0.25">
      <c r="G289" s="56"/>
    </row>
    <row r="290" spans="7:7" x14ac:dyDescent="0.25">
      <c r="G290" s="56"/>
    </row>
    <row r="291" spans="7:7" x14ac:dyDescent="0.25">
      <c r="G291" s="56"/>
    </row>
    <row r="292" spans="7:7" x14ac:dyDescent="0.25">
      <c r="G292" s="56"/>
    </row>
    <row r="293" spans="7:7" x14ac:dyDescent="0.25">
      <c r="G293" s="56"/>
    </row>
    <row r="294" spans="7:7" x14ac:dyDescent="0.25">
      <c r="G294" s="56"/>
    </row>
    <row r="295" spans="7:7" x14ac:dyDescent="0.25">
      <c r="G295" s="56"/>
    </row>
    <row r="296" spans="7:7" x14ac:dyDescent="0.25">
      <c r="G296" s="56"/>
    </row>
    <row r="297" spans="7:7" x14ac:dyDescent="0.25">
      <c r="G297" s="56"/>
    </row>
    <row r="298" spans="7:7" x14ac:dyDescent="0.25">
      <c r="G298" s="56"/>
    </row>
    <row r="299" spans="7:7" x14ac:dyDescent="0.25">
      <c r="G299" s="56"/>
    </row>
    <row r="300" spans="7:7" x14ac:dyDescent="0.25">
      <c r="G300" s="56"/>
    </row>
    <row r="301" spans="7:7" x14ac:dyDescent="0.25">
      <c r="G301" s="56"/>
    </row>
    <row r="302" spans="7:7" x14ac:dyDescent="0.25">
      <c r="G302" s="56"/>
    </row>
    <row r="303" spans="7:7" x14ac:dyDescent="0.25">
      <c r="G303" s="56"/>
    </row>
    <row r="304" spans="7:7" x14ac:dyDescent="0.25">
      <c r="G304" s="56"/>
    </row>
    <row r="305" spans="7:7" x14ac:dyDescent="0.25">
      <c r="G305" s="56"/>
    </row>
    <row r="306" spans="7:7" x14ac:dyDescent="0.25">
      <c r="G306" s="56"/>
    </row>
    <row r="307" spans="7:7" x14ac:dyDescent="0.25">
      <c r="G307" s="56"/>
    </row>
    <row r="308" spans="7:7" x14ac:dyDescent="0.25">
      <c r="G308" s="56"/>
    </row>
    <row r="309" spans="7:7" x14ac:dyDescent="0.25">
      <c r="G309" s="56"/>
    </row>
    <row r="310" spans="7:7" x14ac:dyDescent="0.25">
      <c r="G310" s="56"/>
    </row>
    <row r="311" spans="7:7" x14ac:dyDescent="0.25">
      <c r="G311" s="56"/>
    </row>
    <row r="312" spans="7:7" x14ac:dyDescent="0.25">
      <c r="G312" s="56"/>
    </row>
    <row r="313" spans="7:7" x14ac:dyDescent="0.25">
      <c r="G313" s="56"/>
    </row>
    <row r="314" spans="7:7" x14ac:dyDescent="0.25">
      <c r="G314" s="56"/>
    </row>
    <row r="315" spans="7:7" x14ac:dyDescent="0.25">
      <c r="G315" s="56"/>
    </row>
    <row r="316" spans="7:7" x14ac:dyDescent="0.25">
      <c r="G316" s="56"/>
    </row>
    <row r="317" spans="7:7" x14ac:dyDescent="0.25">
      <c r="G317" s="56"/>
    </row>
    <row r="318" spans="7:7" x14ac:dyDescent="0.25">
      <c r="G318" s="56"/>
    </row>
    <row r="319" spans="7:7" x14ac:dyDescent="0.25">
      <c r="G319" s="56"/>
    </row>
    <row r="320" spans="7:7" x14ac:dyDescent="0.25">
      <c r="G320" s="56"/>
    </row>
    <row r="321" spans="7:7" x14ac:dyDescent="0.25">
      <c r="G321" s="56"/>
    </row>
    <row r="322" spans="7:7" x14ac:dyDescent="0.25">
      <c r="G322" s="56"/>
    </row>
    <row r="323" spans="7:7" x14ac:dyDescent="0.25">
      <c r="G323" s="56"/>
    </row>
    <row r="324" spans="7:7" x14ac:dyDescent="0.25">
      <c r="G324" s="56"/>
    </row>
    <row r="325" spans="7:7" x14ac:dyDescent="0.25">
      <c r="G325" s="56"/>
    </row>
    <row r="326" spans="7:7" x14ac:dyDescent="0.25">
      <c r="G326" s="56"/>
    </row>
    <row r="327" spans="7:7" x14ac:dyDescent="0.25">
      <c r="G327" s="56"/>
    </row>
    <row r="328" spans="7:7" x14ac:dyDescent="0.25">
      <c r="G328" s="56"/>
    </row>
    <row r="329" spans="7:7" x14ac:dyDescent="0.25">
      <c r="G329" s="56"/>
    </row>
    <row r="330" spans="7:7" x14ac:dyDescent="0.25">
      <c r="G330" s="56"/>
    </row>
    <row r="331" spans="7:7" x14ac:dyDescent="0.25">
      <c r="G331" s="56"/>
    </row>
    <row r="332" spans="7:7" x14ac:dyDescent="0.25">
      <c r="G332" s="56"/>
    </row>
    <row r="333" spans="7:7" x14ac:dyDescent="0.25">
      <c r="G333" s="56"/>
    </row>
    <row r="334" spans="7:7" x14ac:dyDescent="0.25">
      <c r="G334" s="56"/>
    </row>
    <row r="335" spans="7:7" x14ac:dyDescent="0.25">
      <c r="G335" s="56"/>
    </row>
    <row r="336" spans="7:7" x14ac:dyDescent="0.25">
      <c r="G336" s="56"/>
    </row>
    <row r="337" spans="7:7" x14ac:dyDescent="0.25">
      <c r="G337" s="56"/>
    </row>
    <row r="338" spans="7:7" x14ac:dyDescent="0.25">
      <c r="G338" s="56"/>
    </row>
    <row r="339" spans="7:7" x14ac:dyDescent="0.25">
      <c r="G339" s="56"/>
    </row>
    <row r="340" spans="7:7" x14ac:dyDescent="0.25">
      <c r="G340" s="56"/>
    </row>
    <row r="341" spans="7:7" x14ac:dyDescent="0.25">
      <c r="G341" s="56"/>
    </row>
    <row r="342" spans="7:7" x14ac:dyDescent="0.25">
      <c r="G342" s="56"/>
    </row>
    <row r="343" spans="7:7" x14ac:dyDescent="0.25">
      <c r="G343" s="56"/>
    </row>
    <row r="344" spans="7:7" x14ac:dyDescent="0.25">
      <c r="G344" s="56"/>
    </row>
    <row r="345" spans="7:7" x14ac:dyDescent="0.25">
      <c r="G345" s="56"/>
    </row>
    <row r="346" spans="7:7" x14ac:dyDescent="0.25">
      <c r="G346" s="56"/>
    </row>
    <row r="347" spans="7:7" x14ac:dyDescent="0.25">
      <c r="G347" s="56"/>
    </row>
    <row r="348" spans="7:7" x14ac:dyDescent="0.25">
      <c r="G348" s="56"/>
    </row>
    <row r="349" spans="7:7" x14ac:dyDescent="0.25">
      <c r="G349" s="56"/>
    </row>
    <row r="350" spans="7:7" x14ac:dyDescent="0.25">
      <c r="G350" s="56"/>
    </row>
    <row r="351" spans="7:7" x14ac:dyDescent="0.25">
      <c r="G351" s="56"/>
    </row>
    <row r="352" spans="7:7" x14ac:dyDescent="0.25">
      <c r="G352" s="56"/>
    </row>
    <row r="353" spans="7:7" x14ac:dyDescent="0.25">
      <c r="G353" s="56"/>
    </row>
    <row r="354" spans="7:7" x14ac:dyDescent="0.25">
      <c r="G354" s="56"/>
    </row>
    <row r="355" spans="7:7" x14ac:dyDescent="0.25">
      <c r="G355" s="56"/>
    </row>
    <row r="356" spans="7:7" x14ac:dyDescent="0.25">
      <c r="G356" s="56"/>
    </row>
    <row r="357" spans="7:7" x14ac:dyDescent="0.25">
      <c r="G357" s="56"/>
    </row>
    <row r="358" spans="7:7" x14ac:dyDescent="0.25">
      <c r="G358" s="56"/>
    </row>
    <row r="359" spans="7:7" x14ac:dyDescent="0.25">
      <c r="G359" s="56"/>
    </row>
    <row r="360" spans="7:7" x14ac:dyDescent="0.25">
      <c r="G360" s="56"/>
    </row>
    <row r="361" spans="7:7" x14ac:dyDescent="0.25">
      <c r="G361" s="56"/>
    </row>
    <row r="362" spans="7:7" x14ac:dyDescent="0.25">
      <c r="G362" s="56"/>
    </row>
    <row r="363" spans="7:7" x14ac:dyDescent="0.25">
      <c r="G363" s="56"/>
    </row>
    <row r="364" spans="7:7" x14ac:dyDescent="0.25">
      <c r="G364" s="56"/>
    </row>
    <row r="365" spans="7:7" x14ac:dyDescent="0.25">
      <c r="G365" s="56"/>
    </row>
    <row r="366" spans="7:7" x14ac:dyDescent="0.25">
      <c r="G366" s="56"/>
    </row>
    <row r="367" spans="7:7" x14ac:dyDescent="0.25">
      <c r="G367" s="56"/>
    </row>
    <row r="368" spans="7:7" x14ac:dyDescent="0.25">
      <c r="G368" s="56"/>
    </row>
    <row r="369" spans="7:7" x14ac:dyDescent="0.25">
      <c r="G369" s="56"/>
    </row>
    <row r="370" spans="7:7" x14ac:dyDescent="0.25">
      <c r="G370" s="56"/>
    </row>
    <row r="371" spans="7:7" x14ac:dyDescent="0.25">
      <c r="G371" s="56"/>
    </row>
    <row r="372" spans="7:7" x14ac:dyDescent="0.25">
      <c r="G372" s="56"/>
    </row>
    <row r="373" spans="7:7" x14ac:dyDescent="0.25">
      <c r="G373" s="56"/>
    </row>
    <row r="374" spans="7:7" x14ac:dyDescent="0.25">
      <c r="G374" s="56"/>
    </row>
    <row r="375" spans="7:7" x14ac:dyDescent="0.25">
      <c r="G375" s="56"/>
    </row>
    <row r="376" spans="7:7" x14ac:dyDescent="0.25">
      <c r="G376" s="56"/>
    </row>
    <row r="377" spans="7:7" x14ac:dyDescent="0.25">
      <c r="G377" s="56"/>
    </row>
    <row r="378" spans="7:7" x14ac:dyDescent="0.25">
      <c r="G378" s="56"/>
    </row>
    <row r="379" spans="7:7" x14ac:dyDescent="0.25">
      <c r="G379" s="56"/>
    </row>
    <row r="380" spans="7:7" x14ac:dyDescent="0.25">
      <c r="G380" s="56"/>
    </row>
    <row r="381" spans="7:7" x14ac:dyDescent="0.25">
      <c r="G381" s="56"/>
    </row>
    <row r="382" spans="7:7" x14ac:dyDescent="0.25">
      <c r="G382" s="56"/>
    </row>
    <row r="383" spans="7:7" x14ac:dyDescent="0.25">
      <c r="G383" s="56"/>
    </row>
    <row r="384" spans="7:7" x14ac:dyDescent="0.25">
      <c r="G384" s="56"/>
    </row>
    <row r="385" spans="7:7" x14ac:dyDescent="0.25">
      <c r="G385" s="56"/>
    </row>
    <row r="386" spans="7:7" x14ac:dyDescent="0.25">
      <c r="G386" s="56"/>
    </row>
    <row r="387" spans="7:7" x14ac:dyDescent="0.25">
      <c r="G387" s="56"/>
    </row>
    <row r="388" spans="7:7" x14ac:dyDescent="0.25">
      <c r="G388" s="56"/>
    </row>
    <row r="389" spans="7:7" x14ac:dyDescent="0.25">
      <c r="G389" s="56"/>
    </row>
    <row r="390" spans="7:7" x14ac:dyDescent="0.25">
      <c r="G390" s="56"/>
    </row>
    <row r="391" spans="7:7" x14ac:dyDescent="0.25">
      <c r="G391" s="56"/>
    </row>
    <row r="392" spans="7:7" x14ac:dyDescent="0.25">
      <c r="G392" s="56"/>
    </row>
    <row r="393" spans="7:7" x14ac:dyDescent="0.25">
      <c r="G393" s="56"/>
    </row>
    <row r="394" spans="7:7" x14ac:dyDescent="0.25">
      <c r="G394" s="56"/>
    </row>
    <row r="395" spans="7:7" x14ac:dyDescent="0.25">
      <c r="G395" s="56"/>
    </row>
    <row r="396" spans="7:7" x14ac:dyDescent="0.25">
      <c r="G396" s="56"/>
    </row>
    <row r="397" spans="7:7" x14ac:dyDescent="0.25">
      <c r="G397" s="56"/>
    </row>
    <row r="398" spans="7:7" x14ac:dyDescent="0.25">
      <c r="G398" s="56"/>
    </row>
    <row r="399" spans="7:7" x14ac:dyDescent="0.25">
      <c r="G399" s="56"/>
    </row>
    <row r="400" spans="7:7" x14ac:dyDescent="0.25">
      <c r="G400" s="56"/>
    </row>
    <row r="401" spans="7:7" x14ac:dyDescent="0.25">
      <c r="G401" s="56"/>
    </row>
    <row r="402" spans="7:7" x14ac:dyDescent="0.25">
      <c r="G402" s="56"/>
    </row>
    <row r="403" spans="7:7" x14ac:dyDescent="0.25">
      <c r="G403" s="56"/>
    </row>
    <row r="404" spans="7:7" x14ac:dyDescent="0.25">
      <c r="G404" s="56"/>
    </row>
  </sheetData>
  <mergeCells count="1">
    <mergeCell ref="M3:M4"/>
  </mergeCells>
  <phoneticPr fontId="15" type="noConversion"/>
  <conditionalFormatting sqref="B5:C5 C70:D70 C75:D110">
    <cfRule type="cellIs" dxfId="9" priority="67" operator="greaterThan">
      <formula>0</formula>
    </cfRule>
    <cfRule type="cellIs" dxfId="8" priority="68" operator="lessThan">
      <formula>0</formula>
    </cfRule>
  </conditionalFormatting>
  <conditionalFormatting sqref="C14:D52">
    <cfRule type="cellIs" dxfId="7" priority="61" operator="greaterThan">
      <formula>0</formula>
    </cfRule>
    <cfRule type="cellIs" dxfId="6" priority="62" operator="lessThan">
      <formula>0</formula>
    </cfRule>
  </conditionalFormatting>
  <conditionalFormatting sqref="G120:G1048576">
    <cfRule type="cellIs" dxfId="5" priority="63" operator="greaterThan">
      <formula>0</formula>
    </cfRule>
    <cfRule type="cellIs" dxfId="4" priority="64" operator="lessThan">
      <formula>0</formula>
    </cfRule>
  </conditionalFormatting>
  <conditionalFormatting sqref="G14:I119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H120:I266">
    <cfRule type="cellIs" dxfId="1" priority="65" operator="greaterThan">
      <formula>0</formula>
    </cfRule>
    <cfRule type="cellIs" dxfId="0" priority="66" operator="lessThan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17"/>
  <sheetViews>
    <sheetView showGridLines="0" zoomScaleNormal="100" workbookViewId="0">
      <selection activeCell="D10" sqref="D10"/>
    </sheetView>
  </sheetViews>
  <sheetFormatPr defaultColWidth="8.7109375" defaultRowHeight="15" x14ac:dyDescent="0.25"/>
  <cols>
    <col min="1" max="1" width="4.28515625" customWidth="1"/>
    <col min="2" max="2" width="26.28515625" customWidth="1"/>
    <col min="3" max="3" width="13.28515625" style="2" customWidth="1"/>
    <col min="4" max="4" width="47.7109375" customWidth="1"/>
  </cols>
  <sheetData>
    <row r="1" spans="2:4" x14ac:dyDescent="0.25">
      <c r="B1" s="65" t="s">
        <v>214</v>
      </c>
      <c r="C1" s="66" t="s">
        <v>215</v>
      </c>
      <c r="D1" s="65" t="s">
        <v>216</v>
      </c>
    </row>
    <row r="2" spans="2:4" x14ac:dyDescent="0.25">
      <c r="B2" s="57" t="s">
        <v>22</v>
      </c>
      <c r="C2" s="40" t="s">
        <v>217</v>
      </c>
      <c r="D2" s="57"/>
    </row>
    <row r="3" spans="2:4" x14ac:dyDescent="0.25">
      <c r="B3" s="57" t="s">
        <v>125</v>
      </c>
      <c r="C3" s="40" t="s">
        <v>217</v>
      </c>
      <c r="D3" s="57"/>
    </row>
    <row r="4" spans="2:4" x14ac:dyDescent="0.25">
      <c r="B4" s="57" t="s">
        <v>126</v>
      </c>
      <c r="C4" s="40" t="s">
        <v>218</v>
      </c>
      <c r="D4" s="57"/>
    </row>
    <row r="5" spans="2:4" x14ac:dyDescent="0.25">
      <c r="B5" s="57" t="s">
        <v>127</v>
      </c>
      <c r="C5" s="40" t="s">
        <v>217</v>
      </c>
      <c r="D5" s="57"/>
    </row>
    <row r="6" spans="2:4" x14ac:dyDescent="0.25">
      <c r="B6" s="57" t="s">
        <v>128</v>
      </c>
      <c r="C6" s="40" t="s">
        <v>218</v>
      </c>
      <c r="D6" s="57"/>
    </row>
    <row r="7" spans="2:4" x14ac:dyDescent="0.25">
      <c r="B7" s="57" t="s">
        <v>219</v>
      </c>
      <c r="C7" s="40" t="s">
        <v>218</v>
      </c>
      <c r="D7" s="57"/>
    </row>
    <row r="8" spans="2:4" x14ac:dyDescent="0.25">
      <c r="B8" s="57" t="s">
        <v>220</v>
      </c>
      <c r="C8" s="40" t="s">
        <v>218</v>
      </c>
      <c r="D8" s="57"/>
    </row>
    <row r="9" spans="2:4" x14ac:dyDescent="0.25">
      <c r="B9" s="57" t="s">
        <v>221</v>
      </c>
      <c r="C9" s="40"/>
      <c r="D9" s="57"/>
    </row>
    <row r="10" spans="2:4" x14ac:dyDescent="0.25">
      <c r="B10" s="57" t="s">
        <v>222</v>
      </c>
      <c r="C10" s="40" t="s">
        <v>217</v>
      </c>
      <c r="D10" s="57"/>
    </row>
    <row r="17" spans="3:3" x14ac:dyDescent="0.25">
      <c r="C17" s="3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Saldo</vt:lpstr>
      <vt:lpstr>Compensasões e Transferências</vt:lpstr>
      <vt:lpstr>Itaú</vt:lpstr>
      <vt:lpstr>NuBank</vt:lpstr>
      <vt:lpstr>Contas</vt:lpstr>
      <vt:lpstr>NuConta e Poupança</vt:lpstr>
      <vt:lpstr>Checklist de pagamento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Mamede Teles</dc:creator>
  <cp:keywords/>
  <dc:description/>
  <cp:lastModifiedBy>Guilherme Mamede Teles</cp:lastModifiedBy>
  <cp:revision>0</cp:revision>
  <dcterms:created xsi:type="dcterms:W3CDTF">2023-11-06T20:37:31Z</dcterms:created>
  <dcterms:modified xsi:type="dcterms:W3CDTF">2026-07-21T03:22:33Z</dcterms:modified>
  <cp:category/>
  <cp:contentStatus/>
</cp:coreProperties>
</file>